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1"/>
  <workbookPr defaultThemeVersion="124226"/>
  <mc:AlternateContent xmlns:mc="http://schemas.openxmlformats.org/markup-compatibility/2006">
    <mc:Choice Requires="x15">
      <x15ac:absPath xmlns:x15ac="http://schemas.microsoft.com/office/spreadsheetml/2010/11/ac" url="/Users/julianlara/Desktop/1. MasterFile/1. CSUF/2. Spring 2024/ISDS 361B - BA II/"/>
    </mc:Choice>
  </mc:AlternateContent>
  <xr:revisionPtr revIDLastSave="0" documentId="13_ncr:1_{964375B0-B9AD-3248-8C10-74BBA4618246}" xr6:coauthVersionLast="47" xr6:coauthVersionMax="47" xr10:uidLastSave="{00000000-0000-0000-0000-000000000000}"/>
  <bookViews>
    <workbookView xWindow="0" yWindow="0" windowWidth="38400" windowHeight="21600" xr2:uid="{00000000-000D-0000-FFFF-FFFF00000000}"/>
  </bookViews>
  <sheets>
    <sheet name="COVER" sheetId="4" r:id="rId1"/>
    <sheet name="Time Series Analysis" sheetId="6" r:id="rId2"/>
    <sheet name="Model &amp; Details" sheetId="1" r:id="rId3"/>
    <sheet name="Jan comparison"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8" i="7" l="1"/>
  <c r="T38" i="7"/>
  <c r="S38" i="7"/>
  <c r="R38" i="7"/>
  <c r="O49" i="7"/>
  <c r="N49" i="7"/>
  <c r="M49" i="7"/>
  <c r="L49" i="7"/>
  <c r="K49" i="7"/>
  <c r="J49" i="7"/>
  <c r="I49" i="7"/>
  <c r="H49" i="7"/>
  <c r="G49" i="7"/>
  <c r="F49" i="7"/>
  <c r="E49" i="7"/>
  <c r="O48" i="7"/>
  <c r="N48" i="7"/>
  <c r="M48" i="7"/>
  <c r="L48" i="7"/>
  <c r="K48" i="7"/>
  <c r="J48" i="7"/>
  <c r="I48" i="7"/>
  <c r="H48" i="7"/>
  <c r="G48" i="7"/>
  <c r="F48" i="7"/>
  <c r="E48" i="7"/>
  <c r="O47" i="7"/>
  <c r="N47" i="7"/>
  <c r="M47" i="7"/>
  <c r="L47" i="7"/>
  <c r="K47" i="7"/>
  <c r="J47" i="7"/>
  <c r="I47" i="7"/>
  <c r="H47" i="7"/>
  <c r="G47" i="7"/>
  <c r="F47" i="7"/>
  <c r="E47" i="7"/>
  <c r="O46" i="7"/>
  <c r="N46" i="7"/>
  <c r="M46" i="7"/>
  <c r="L46" i="7"/>
  <c r="K46" i="7"/>
  <c r="J46" i="7"/>
  <c r="I46" i="7"/>
  <c r="H46" i="7"/>
  <c r="G46" i="7"/>
  <c r="F46" i="7"/>
  <c r="E46" i="7"/>
  <c r="O45" i="7"/>
  <c r="N45" i="7"/>
  <c r="M45" i="7"/>
  <c r="L45" i="7"/>
  <c r="K45" i="7"/>
  <c r="J45" i="7"/>
  <c r="I45" i="7"/>
  <c r="H45" i="7"/>
  <c r="G45" i="7"/>
  <c r="F45" i="7"/>
  <c r="E45" i="7"/>
  <c r="O44" i="7"/>
  <c r="N44" i="7"/>
  <c r="M44" i="7"/>
  <c r="L44" i="7"/>
  <c r="K44" i="7"/>
  <c r="J44" i="7"/>
  <c r="I44" i="7"/>
  <c r="H44" i="7"/>
  <c r="G44" i="7"/>
  <c r="F44" i="7"/>
  <c r="E44" i="7"/>
  <c r="O43" i="7"/>
  <c r="N43" i="7"/>
  <c r="M43" i="7"/>
  <c r="L43" i="7"/>
  <c r="K43" i="7"/>
  <c r="J43" i="7"/>
  <c r="I43" i="7"/>
  <c r="H43" i="7"/>
  <c r="G43" i="7"/>
  <c r="F43" i="7"/>
  <c r="E43" i="7"/>
  <c r="O42" i="7"/>
  <c r="N42" i="7"/>
  <c r="M42" i="7"/>
  <c r="L42" i="7"/>
  <c r="K42" i="7"/>
  <c r="J42" i="7"/>
  <c r="I42" i="7"/>
  <c r="H42" i="7"/>
  <c r="G42" i="7"/>
  <c r="F42" i="7"/>
  <c r="E42" i="7"/>
  <c r="O41" i="7"/>
  <c r="N41" i="7"/>
  <c r="M41" i="7"/>
  <c r="L41" i="7"/>
  <c r="K41" i="7"/>
  <c r="J41" i="7"/>
  <c r="I41" i="7"/>
  <c r="H41" i="7"/>
  <c r="G41" i="7"/>
  <c r="F41" i="7"/>
  <c r="E41" i="7"/>
  <c r="O40" i="7"/>
  <c r="N40" i="7"/>
  <c r="M40" i="7"/>
  <c r="L40" i="7"/>
  <c r="K40" i="7"/>
  <c r="J40" i="7"/>
  <c r="I40" i="7"/>
  <c r="H40" i="7"/>
  <c r="G40" i="7"/>
  <c r="F40" i="7"/>
  <c r="E40" i="7"/>
  <c r="O39" i="7"/>
  <c r="N39" i="7"/>
  <c r="M39" i="7"/>
  <c r="L39" i="7"/>
  <c r="K39" i="7"/>
  <c r="J39" i="7"/>
  <c r="I39" i="7"/>
  <c r="H39" i="7"/>
  <c r="G39" i="7"/>
  <c r="F39" i="7"/>
  <c r="E39" i="7"/>
  <c r="O38" i="7"/>
  <c r="N38" i="7"/>
  <c r="M38" i="7"/>
  <c r="L38" i="7"/>
  <c r="K38" i="7"/>
  <c r="J38" i="7"/>
  <c r="I38" i="7"/>
  <c r="H38" i="7"/>
  <c r="G38" i="7"/>
  <c r="F38" i="7"/>
  <c r="E38" i="7"/>
  <c r="O37" i="7"/>
  <c r="N37" i="7"/>
  <c r="M37" i="7"/>
  <c r="L37" i="7"/>
  <c r="K37" i="7"/>
  <c r="J37" i="7"/>
  <c r="I37" i="7"/>
  <c r="H37" i="7"/>
  <c r="G37" i="7"/>
  <c r="F37" i="7"/>
  <c r="E37" i="7"/>
  <c r="O36" i="7"/>
  <c r="N36" i="7"/>
  <c r="M36" i="7"/>
  <c r="L36" i="7"/>
  <c r="K36" i="7"/>
  <c r="J36" i="7"/>
  <c r="I36" i="7"/>
  <c r="H36" i="7"/>
  <c r="G36" i="7"/>
  <c r="F36" i="7"/>
  <c r="E36" i="7"/>
  <c r="O35" i="7"/>
  <c r="N35" i="7"/>
  <c r="M35" i="7"/>
  <c r="L35" i="7"/>
  <c r="K35" i="7"/>
  <c r="J35" i="7"/>
  <c r="I35" i="7"/>
  <c r="H35" i="7"/>
  <c r="G35" i="7"/>
  <c r="F35" i="7"/>
  <c r="E35" i="7"/>
  <c r="O34" i="7"/>
  <c r="N34" i="7"/>
  <c r="M34" i="7"/>
  <c r="L34" i="7"/>
  <c r="K34" i="7"/>
  <c r="J34" i="7"/>
  <c r="I34" i="7"/>
  <c r="H34" i="7"/>
  <c r="G34" i="7"/>
  <c r="F34" i="7"/>
  <c r="E34" i="7"/>
  <c r="O33" i="7"/>
  <c r="N33" i="7"/>
  <c r="M33" i="7"/>
  <c r="L33" i="7"/>
  <c r="K33" i="7"/>
  <c r="J33" i="7"/>
  <c r="I33" i="7"/>
  <c r="H33" i="7"/>
  <c r="G33" i="7"/>
  <c r="F33" i="7"/>
  <c r="E33" i="7"/>
  <c r="O32" i="7"/>
  <c r="N32" i="7"/>
  <c r="M32" i="7"/>
  <c r="L32" i="7"/>
  <c r="K32" i="7"/>
  <c r="J32" i="7"/>
  <c r="I32" i="7"/>
  <c r="H32" i="7"/>
  <c r="G32" i="7"/>
  <c r="F32" i="7"/>
  <c r="E32" i="7"/>
  <c r="O31" i="7"/>
  <c r="N31" i="7"/>
  <c r="M31" i="7"/>
  <c r="L31" i="7"/>
  <c r="K31" i="7"/>
  <c r="J31" i="7"/>
  <c r="I31" i="7"/>
  <c r="H31" i="7"/>
  <c r="G31" i="7"/>
  <c r="F31" i="7"/>
  <c r="E31" i="7"/>
  <c r="O30" i="7"/>
  <c r="N30" i="7"/>
  <c r="M30" i="7"/>
  <c r="L30" i="7"/>
  <c r="K30" i="7"/>
  <c r="J30" i="7"/>
  <c r="I30" i="7"/>
  <c r="H30" i="7"/>
  <c r="G30" i="7"/>
  <c r="F30" i="7"/>
  <c r="E30" i="7"/>
  <c r="O29" i="7"/>
  <c r="N29" i="7"/>
  <c r="M29" i="7"/>
  <c r="L29" i="7"/>
  <c r="K29" i="7"/>
  <c r="J29" i="7"/>
  <c r="I29" i="7"/>
  <c r="H29" i="7"/>
  <c r="G29" i="7"/>
  <c r="F29" i="7"/>
  <c r="E29" i="7"/>
  <c r="O28" i="7"/>
  <c r="N28" i="7"/>
  <c r="M28" i="7"/>
  <c r="L28" i="7"/>
  <c r="K28" i="7"/>
  <c r="J28" i="7"/>
  <c r="I28" i="7"/>
  <c r="H28" i="7"/>
  <c r="G28" i="7"/>
  <c r="F28" i="7"/>
  <c r="E28" i="7"/>
  <c r="O27" i="7"/>
  <c r="N27" i="7"/>
  <c r="M27" i="7"/>
  <c r="L27" i="7"/>
  <c r="K27" i="7"/>
  <c r="J27" i="7"/>
  <c r="I27" i="7"/>
  <c r="H27" i="7"/>
  <c r="G27" i="7"/>
  <c r="F27" i="7"/>
  <c r="E27" i="7"/>
  <c r="O26" i="7"/>
  <c r="N26" i="7"/>
  <c r="M26" i="7"/>
  <c r="L26" i="7"/>
  <c r="K26" i="7"/>
  <c r="J26" i="7"/>
  <c r="I26" i="7"/>
  <c r="H26" i="7"/>
  <c r="G26" i="7"/>
  <c r="F26" i="7"/>
  <c r="E26" i="7"/>
  <c r="O25" i="7"/>
  <c r="N25" i="7"/>
  <c r="M25" i="7"/>
  <c r="L25" i="7"/>
  <c r="K25" i="7"/>
  <c r="J25" i="7"/>
  <c r="I25" i="7"/>
  <c r="H25" i="7"/>
  <c r="G25" i="7"/>
  <c r="F25" i="7"/>
  <c r="E25" i="7"/>
  <c r="O24" i="7"/>
  <c r="N24" i="7"/>
  <c r="M24" i="7"/>
  <c r="L24" i="7"/>
  <c r="K24" i="7"/>
  <c r="J24" i="7"/>
  <c r="I24" i="7"/>
  <c r="H24" i="7"/>
  <c r="G24" i="7"/>
  <c r="F24" i="7"/>
  <c r="E24" i="7"/>
  <c r="O23" i="7"/>
  <c r="N23" i="7"/>
  <c r="M23" i="7"/>
  <c r="L23" i="7"/>
  <c r="K23" i="7"/>
  <c r="J23" i="7"/>
  <c r="I23" i="7"/>
  <c r="H23" i="7"/>
  <c r="G23" i="7"/>
  <c r="F23" i="7"/>
  <c r="E23" i="7"/>
  <c r="O22" i="7"/>
  <c r="N22" i="7"/>
  <c r="M22" i="7"/>
  <c r="L22" i="7"/>
  <c r="K22" i="7"/>
  <c r="J22" i="7"/>
  <c r="I22" i="7"/>
  <c r="H22" i="7"/>
  <c r="G22" i="7"/>
  <c r="F22" i="7"/>
  <c r="E22" i="7"/>
  <c r="O21" i="7"/>
  <c r="N21" i="7"/>
  <c r="M21" i="7"/>
  <c r="L21" i="7"/>
  <c r="K21" i="7"/>
  <c r="J21" i="7"/>
  <c r="I21" i="7"/>
  <c r="H21" i="7"/>
  <c r="G21" i="7"/>
  <c r="F21" i="7"/>
  <c r="E21" i="7"/>
  <c r="O20" i="7"/>
  <c r="N20" i="7"/>
  <c r="M20" i="7"/>
  <c r="L20" i="7"/>
  <c r="K20" i="7"/>
  <c r="J20" i="7"/>
  <c r="I20" i="7"/>
  <c r="H20" i="7"/>
  <c r="G20" i="7"/>
  <c r="F20" i="7"/>
  <c r="E20" i="7"/>
  <c r="O19" i="7"/>
  <c r="N19" i="7"/>
  <c r="M19" i="7"/>
  <c r="L19" i="7"/>
  <c r="K19" i="7"/>
  <c r="J19" i="7"/>
  <c r="I19" i="7"/>
  <c r="H19" i="7"/>
  <c r="G19" i="7"/>
  <c r="F19" i="7"/>
  <c r="E19" i="7"/>
  <c r="O18" i="7"/>
  <c r="N18" i="7"/>
  <c r="M18" i="7"/>
  <c r="L18" i="7"/>
  <c r="K18" i="7"/>
  <c r="J18" i="7"/>
  <c r="I18" i="7"/>
  <c r="H18" i="7"/>
  <c r="G18" i="7"/>
  <c r="F18" i="7"/>
  <c r="E18" i="7"/>
  <c r="O17" i="7"/>
  <c r="N17" i="7"/>
  <c r="M17" i="7"/>
  <c r="L17" i="7"/>
  <c r="K17" i="7"/>
  <c r="J17" i="7"/>
  <c r="I17" i="7"/>
  <c r="H17" i="7"/>
  <c r="G17" i="7"/>
  <c r="F17" i="7"/>
  <c r="E17" i="7"/>
  <c r="O16" i="7"/>
  <c r="N16" i="7"/>
  <c r="M16" i="7"/>
  <c r="L16" i="7"/>
  <c r="K16" i="7"/>
  <c r="J16" i="7"/>
  <c r="I16" i="7"/>
  <c r="H16" i="7"/>
  <c r="G16" i="7"/>
  <c r="F16" i="7"/>
  <c r="E16" i="7"/>
  <c r="O15" i="7"/>
  <c r="N15" i="7"/>
  <c r="M15" i="7"/>
  <c r="L15" i="7"/>
  <c r="K15" i="7"/>
  <c r="J15" i="7"/>
  <c r="I15" i="7"/>
  <c r="H15" i="7"/>
  <c r="G15" i="7"/>
  <c r="F15" i="7"/>
  <c r="E15" i="7"/>
  <c r="O14" i="7"/>
  <c r="N14" i="7"/>
  <c r="M14" i="7"/>
  <c r="L14" i="7"/>
  <c r="K14" i="7"/>
  <c r="J14" i="7"/>
  <c r="I14" i="7"/>
  <c r="H14" i="7"/>
  <c r="G14" i="7"/>
  <c r="F14" i="7"/>
  <c r="E14" i="7"/>
  <c r="O13" i="7"/>
  <c r="N13" i="7"/>
  <c r="M13" i="7"/>
  <c r="L13" i="7"/>
  <c r="K13" i="7"/>
  <c r="J13" i="7"/>
  <c r="I13" i="7"/>
  <c r="H13" i="7"/>
  <c r="G13" i="7"/>
  <c r="F13" i="7"/>
  <c r="E13" i="7"/>
  <c r="O12" i="7"/>
  <c r="N12" i="7"/>
  <c r="M12" i="7"/>
  <c r="L12" i="7"/>
  <c r="K12" i="7"/>
  <c r="J12" i="7"/>
  <c r="I12" i="7"/>
  <c r="H12" i="7"/>
  <c r="G12" i="7"/>
  <c r="F12" i="7"/>
  <c r="E12" i="7"/>
  <c r="O11" i="7"/>
  <c r="N11" i="7"/>
  <c r="M11" i="7"/>
  <c r="L11" i="7"/>
  <c r="K11" i="7"/>
  <c r="J11" i="7"/>
  <c r="I11" i="7"/>
  <c r="H11" i="7"/>
  <c r="G11" i="7"/>
  <c r="F11" i="7"/>
  <c r="E11" i="7"/>
  <c r="O10" i="7"/>
  <c r="N10" i="7"/>
  <c r="M10" i="7"/>
  <c r="L10" i="7"/>
  <c r="K10" i="7"/>
  <c r="J10" i="7"/>
  <c r="I10" i="7"/>
  <c r="H10" i="7"/>
  <c r="G10" i="7"/>
  <c r="F10" i="7"/>
  <c r="E10" i="7"/>
  <c r="O9" i="7"/>
  <c r="N9" i="7"/>
  <c r="M9" i="7"/>
  <c r="L9" i="7"/>
  <c r="K9" i="7"/>
  <c r="J9" i="7"/>
  <c r="I9" i="7"/>
  <c r="H9" i="7"/>
  <c r="G9" i="7"/>
  <c r="F9" i="7"/>
  <c r="E9" i="7"/>
  <c r="O8" i="7"/>
  <c r="N8" i="7"/>
  <c r="M8" i="7"/>
  <c r="L8" i="7"/>
  <c r="K8" i="7"/>
  <c r="J8" i="7"/>
  <c r="I8" i="7"/>
  <c r="H8" i="7"/>
  <c r="G8" i="7"/>
  <c r="F8" i="7"/>
  <c r="E8" i="7"/>
  <c r="O7" i="7"/>
  <c r="N7" i="7"/>
  <c r="M7" i="7"/>
  <c r="L7" i="7"/>
  <c r="K7" i="7"/>
  <c r="J7" i="7"/>
  <c r="I7" i="7"/>
  <c r="H7" i="7"/>
  <c r="G7" i="7"/>
  <c r="F7" i="7"/>
  <c r="E7" i="7"/>
  <c r="O6" i="7"/>
  <c r="N6" i="7"/>
  <c r="M6" i="7"/>
  <c r="L6" i="7"/>
  <c r="K6" i="7"/>
  <c r="J6" i="7"/>
  <c r="I6" i="7"/>
  <c r="H6" i="7"/>
  <c r="G6" i="7"/>
  <c r="F6" i="7"/>
  <c r="E6" i="7"/>
  <c r="O5" i="7"/>
  <c r="N5" i="7"/>
  <c r="M5" i="7"/>
  <c r="L5" i="7"/>
  <c r="K5" i="7"/>
  <c r="J5" i="7"/>
  <c r="I5" i="7"/>
  <c r="H5" i="7"/>
  <c r="G5" i="7"/>
  <c r="F5" i="7"/>
  <c r="E5" i="7"/>
  <c r="O4" i="7"/>
  <c r="N4" i="7"/>
  <c r="M4" i="7"/>
  <c r="L4" i="7"/>
  <c r="K4" i="7"/>
  <c r="J4" i="7"/>
  <c r="I4" i="7"/>
  <c r="H4" i="7"/>
  <c r="G4" i="7"/>
  <c r="F4" i="7"/>
  <c r="E4" i="7"/>
  <c r="O3" i="7"/>
  <c r="N3" i="7"/>
  <c r="M3" i="7"/>
  <c r="L3" i="7"/>
  <c r="K3" i="7"/>
  <c r="J3" i="7"/>
  <c r="I3" i="7"/>
  <c r="H3" i="7"/>
  <c r="G3" i="7"/>
  <c r="F3" i="7"/>
  <c r="E3" i="7"/>
  <c r="O2" i="7"/>
  <c r="N2" i="7"/>
  <c r="M2" i="7"/>
  <c r="L2" i="7"/>
  <c r="K2" i="7"/>
  <c r="J2" i="7"/>
  <c r="I2" i="7"/>
  <c r="H2" i="7"/>
  <c r="G2" i="7"/>
  <c r="F2" i="7"/>
  <c r="E2" i="7"/>
  <c r="C43" i="7" l="1"/>
  <c r="C41" i="7"/>
  <c r="C45" i="7"/>
  <c r="C47" i="7"/>
  <c r="C39" i="7"/>
  <c r="C38" i="7"/>
  <c r="C49" i="7"/>
  <c r="C48" i="7"/>
  <c r="C46" i="7"/>
  <c r="C42" i="7"/>
  <c r="C44" i="7"/>
  <c r="C40" i="7"/>
  <c r="AA33" i="7" l="1"/>
  <c r="AB33" i="7"/>
  <c r="AD33" i="7"/>
  <c r="AF49" i="6" l="1"/>
  <c r="AE49" i="6"/>
  <c r="AD49" i="6"/>
  <c r="AC49" i="6"/>
  <c r="AB49" i="6"/>
  <c r="AA49" i="6"/>
  <c r="Z49" i="6"/>
  <c r="Y49" i="6"/>
  <c r="X49" i="6"/>
  <c r="W49" i="6"/>
  <c r="V49" i="6"/>
  <c r="AF48" i="6"/>
  <c r="AE48" i="6"/>
  <c r="AD48" i="6"/>
  <c r="AC48" i="6"/>
  <c r="AB48" i="6"/>
  <c r="AA48" i="6"/>
  <c r="Z48" i="6"/>
  <c r="Y48" i="6"/>
  <c r="X48" i="6"/>
  <c r="W48" i="6"/>
  <c r="V48" i="6"/>
  <c r="AF47" i="6"/>
  <c r="AE47" i="6"/>
  <c r="AD47" i="6"/>
  <c r="AC47" i="6"/>
  <c r="AB47" i="6"/>
  <c r="AA47" i="6"/>
  <c r="Z47" i="6"/>
  <c r="Y47" i="6"/>
  <c r="X47" i="6"/>
  <c r="W47" i="6"/>
  <c r="V47" i="6"/>
  <c r="AF46" i="6"/>
  <c r="AE46" i="6"/>
  <c r="AD46" i="6"/>
  <c r="AC46" i="6"/>
  <c r="AB46" i="6"/>
  <c r="AA46" i="6"/>
  <c r="Z46" i="6"/>
  <c r="Y46" i="6"/>
  <c r="X46" i="6"/>
  <c r="W46" i="6"/>
  <c r="V46" i="6"/>
  <c r="AF45" i="6"/>
  <c r="AE45" i="6"/>
  <c r="AD45" i="6"/>
  <c r="AC45" i="6"/>
  <c r="AB45" i="6"/>
  <c r="AA45" i="6"/>
  <c r="Z45" i="6"/>
  <c r="Y45" i="6"/>
  <c r="X45" i="6"/>
  <c r="W45" i="6"/>
  <c r="V45" i="6"/>
  <c r="AF44" i="6"/>
  <c r="AE44" i="6"/>
  <c r="AD44" i="6"/>
  <c r="AC44" i="6"/>
  <c r="AB44" i="6"/>
  <c r="AA44" i="6"/>
  <c r="Z44" i="6"/>
  <c r="Y44" i="6"/>
  <c r="X44" i="6"/>
  <c r="W44" i="6"/>
  <c r="V44" i="6"/>
  <c r="AF43" i="6"/>
  <c r="AE43" i="6"/>
  <c r="AD43" i="6"/>
  <c r="AC43" i="6"/>
  <c r="AB43" i="6"/>
  <c r="AA43" i="6"/>
  <c r="Z43" i="6"/>
  <c r="Y43" i="6"/>
  <c r="X43" i="6"/>
  <c r="W43" i="6"/>
  <c r="V43" i="6"/>
  <c r="AF42" i="6"/>
  <c r="AE42" i="6"/>
  <c r="AD42" i="6"/>
  <c r="AC42" i="6"/>
  <c r="AB42" i="6"/>
  <c r="AA42" i="6"/>
  <c r="Z42" i="6"/>
  <c r="Y42" i="6"/>
  <c r="X42" i="6"/>
  <c r="W42" i="6"/>
  <c r="V42" i="6"/>
  <c r="AF41" i="6"/>
  <c r="AE41" i="6"/>
  <c r="AD41" i="6"/>
  <c r="AC41" i="6"/>
  <c r="AB41" i="6"/>
  <c r="AA41" i="6"/>
  <c r="Z41" i="6"/>
  <c r="Y41" i="6"/>
  <c r="X41" i="6"/>
  <c r="W41" i="6"/>
  <c r="V41" i="6"/>
  <c r="AF40" i="6"/>
  <c r="AE40" i="6"/>
  <c r="AD40" i="6"/>
  <c r="AC40" i="6"/>
  <c r="AB40" i="6"/>
  <c r="AA40" i="6"/>
  <c r="Z40" i="6"/>
  <c r="Y40" i="6"/>
  <c r="X40" i="6"/>
  <c r="W40" i="6"/>
  <c r="V40" i="6"/>
  <c r="AF39" i="6"/>
  <c r="AE39" i="6"/>
  <c r="AD39" i="6"/>
  <c r="AC39" i="6"/>
  <c r="AB39" i="6"/>
  <c r="AA39" i="6"/>
  <c r="Z39" i="6"/>
  <c r="Y39" i="6"/>
  <c r="X39" i="6"/>
  <c r="W39" i="6"/>
  <c r="V39" i="6"/>
  <c r="AF38" i="6"/>
  <c r="AE38" i="6"/>
  <c r="AD38" i="6"/>
  <c r="AC38" i="6"/>
  <c r="AB38" i="6"/>
  <c r="AA38" i="6"/>
  <c r="Z38" i="6"/>
  <c r="Y38" i="6"/>
  <c r="X38" i="6"/>
  <c r="W38" i="6"/>
  <c r="V38" i="6"/>
  <c r="AF37" i="6"/>
  <c r="AE37" i="6"/>
  <c r="AD37" i="6"/>
  <c r="AC37" i="6"/>
  <c r="AB37" i="6"/>
  <c r="AA37" i="6"/>
  <c r="Z37" i="6"/>
  <c r="Y37" i="6"/>
  <c r="X37" i="6"/>
  <c r="W37" i="6"/>
  <c r="V37" i="6"/>
  <c r="AF36" i="6"/>
  <c r="AE36" i="6"/>
  <c r="AD36" i="6"/>
  <c r="AC36" i="6"/>
  <c r="AB36" i="6"/>
  <c r="AA36" i="6"/>
  <c r="Z36" i="6"/>
  <c r="Y36" i="6"/>
  <c r="X36" i="6"/>
  <c r="W36" i="6"/>
  <c r="V36" i="6"/>
  <c r="AF35" i="6"/>
  <c r="AE35" i="6"/>
  <c r="AD35" i="6"/>
  <c r="AC35" i="6"/>
  <c r="AB35" i="6"/>
  <c r="AA35" i="6"/>
  <c r="Z35" i="6"/>
  <c r="Y35" i="6"/>
  <c r="X35" i="6"/>
  <c r="W35" i="6"/>
  <c r="V35" i="6"/>
  <c r="AF34" i="6"/>
  <c r="AE34" i="6"/>
  <c r="AD34" i="6"/>
  <c r="AC34" i="6"/>
  <c r="AB34" i="6"/>
  <c r="AA34" i="6"/>
  <c r="Z34" i="6"/>
  <c r="Y34" i="6"/>
  <c r="X34" i="6"/>
  <c r="W34" i="6"/>
  <c r="V34" i="6"/>
  <c r="AF33" i="6"/>
  <c r="AE33" i="6"/>
  <c r="AD33" i="6"/>
  <c r="AC33" i="6"/>
  <c r="AB33" i="6"/>
  <c r="AA33" i="6"/>
  <c r="Z33" i="6"/>
  <c r="Y33" i="6"/>
  <c r="X33" i="6"/>
  <c r="W33" i="6"/>
  <c r="V33" i="6"/>
  <c r="AF32" i="6"/>
  <c r="AE32" i="6"/>
  <c r="AD32" i="6"/>
  <c r="AC32" i="6"/>
  <c r="AB32" i="6"/>
  <c r="AA32" i="6"/>
  <c r="Z32" i="6"/>
  <c r="Y32" i="6"/>
  <c r="X32" i="6"/>
  <c r="W32" i="6"/>
  <c r="V32" i="6"/>
  <c r="AF31" i="6"/>
  <c r="AE31" i="6"/>
  <c r="AD31" i="6"/>
  <c r="AC31" i="6"/>
  <c r="AB31" i="6"/>
  <c r="AA31" i="6"/>
  <c r="Z31" i="6"/>
  <c r="Y31" i="6"/>
  <c r="X31" i="6"/>
  <c r="W31" i="6"/>
  <c r="V31" i="6"/>
  <c r="AF30" i="6"/>
  <c r="AE30" i="6"/>
  <c r="AD30" i="6"/>
  <c r="AC30" i="6"/>
  <c r="AB30" i="6"/>
  <c r="AA30" i="6"/>
  <c r="Z30" i="6"/>
  <c r="Y30" i="6"/>
  <c r="X30" i="6"/>
  <c r="W30" i="6"/>
  <c r="V30" i="6"/>
  <c r="AF29" i="6"/>
  <c r="AE29" i="6"/>
  <c r="AD29" i="6"/>
  <c r="AC29" i="6"/>
  <c r="AB29" i="6"/>
  <c r="AA29" i="6"/>
  <c r="Z29" i="6"/>
  <c r="Y29" i="6"/>
  <c r="X29" i="6"/>
  <c r="W29" i="6"/>
  <c r="V29" i="6"/>
  <c r="AF28" i="6"/>
  <c r="AE28" i="6"/>
  <c r="AD28" i="6"/>
  <c r="AC28" i="6"/>
  <c r="AB28" i="6"/>
  <c r="AA28" i="6"/>
  <c r="Z28" i="6"/>
  <c r="Y28" i="6"/>
  <c r="X28" i="6"/>
  <c r="W28" i="6"/>
  <c r="V28" i="6"/>
  <c r="AF27" i="6"/>
  <c r="AE27" i="6"/>
  <c r="AD27" i="6"/>
  <c r="AC27" i="6"/>
  <c r="AB27" i="6"/>
  <c r="AA27" i="6"/>
  <c r="Z27" i="6"/>
  <c r="Y27" i="6"/>
  <c r="X27" i="6"/>
  <c r="W27" i="6"/>
  <c r="V27" i="6"/>
  <c r="AF26" i="6"/>
  <c r="AE26" i="6"/>
  <c r="AD26" i="6"/>
  <c r="AC26" i="6"/>
  <c r="AB26" i="6"/>
  <c r="AA26" i="6"/>
  <c r="Z26" i="6"/>
  <c r="Y26" i="6"/>
  <c r="X26" i="6"/>
  <c r="W26" i="6"/>
  <c r="V26" i="6"/>
  <c r="AF25" i="6"/>
  <c r="AE25" i="6"/>
  <c r="AD25" i="6"/>
  <c r="AC25" i="6"/>
  <c r="AB25" i="6"/>
  <c r="AA25" i="6"/>
  <c r="Z25" i="6"/>
  <c r="Y25" i="6"/>
  <c r="X25" i="6"/>
  <c r="W25" i="6"/>
  <c r="V25" i="6"/>
  <c r="AF24" i="6"/>
  <c r="AE24" i="6"/>
  <c r="AD24" i="6"/>
  <c r="AC24" i="6"/>
  <c r="AB24" i="6"/>
  <c r="AA24" i="6"/>
  <c r="Z24" i="6"/>
  <c r="Y24" i="6"/>
  <c r="X24" i="6"/>
  <c r="W24" i="6"/>
  <c r="V24" i="6"/>
  <c r="AF23" i="6"/>
  <c r="AE23" i="6"/>
  <c r="AD23" i="6"/>
  <c r="AC23" i="6"/>
  <c r="AB23" i="6"/>
  <c r="AA23" i="6"/>
  <c r="Z23" i="6"/>
  <c r="Y23" i="6"/>
  <c r="X23" i="6"/>
  <c r="W23" i="6"/>
  <c r="V23" i="6"/>
  <c r="AF22" i="6"/>
  <c r="AE22" i="6"/>
  <c r="AD22" i="6"/>
  <c r="AC22" i="6"/>
  <c r="AB22" i="6"/>
  <c r="AA22" i="6"/>
  <c r="Z22" i="6"/>
  <c r="Y22" i="6"/>
  <c r="X22" i="6"/>
  <c r="W22" i="6"/>
  <c r="V22" i="6"/>
  <c r="AF21" i="6"/>
  <c r="AE21" i="6"/>
  <c r="AD21" i="6"/>
  <c r="AC21" i="6"/>
  <c r="AB21" i="6"/>
  <c r="AA21" i="6"/>
  <c r="Z21" i="6"/>
  <c r="Y21" i="6"/>
  <c r="X21" i="6"/>
  <c r="W21" i="6"/>
  <c r="V21" i="6"/>
  <c r="AF20" i="6"/>
  <c r="AE20" i="6"/>
  <c r="AD20" i="6"/>
  <c r="AC20" i="6"/>
  <c r="AB20" i="6"/>
  <c r="AA20" i="6"/>
  <c r="Z20" i="6"/>
  <c r="Y20" i="6"/>
  <c r="X20" i="6"/>
  <c r="W20" i="6"/>
  <c r="V20" i="6"/>
  <c r="AF19" i="6"/>
  <c r="AE19" i="6"/>
  <c r="AD19" i="6"/>
  <c r="AC19" i="6"/>
  <c r="AB19" i="6"/>
  <c r="AA19" i="6"/>
  <c r="Z19" i="6"/>
  <c r="Y19" i="6"/>
  <c r="X19" i="6"/>
  <c r="W19" i="6"/>
  <c r="V19" i="6"/>
  <c r="AF18" i="6"/>
  <c r="AE18" i="6"/>
  <c r="AD18" i="6"/>
  <c r="AC18" i="6"/>
  <c r="AB18" i="6"/>
  <c r="AA18" i="6"/>
  <c r="Z18" i="6"/>
  <c r="Y18" i="6"/>
  <c r="X18" i="6"/>
  <c r="W18" i="6"/>
  <c r="V18" i="6"/>
  <c r="AF17" i="6"/>
  <c r="AE17" i="6"/>
  <c r="AD17" i="6"/>
  <c r="AC17" i="6"/>
  <c r="AB17" i="6"/>
  <c r="AA17" i="6"/>
  <c r="Z17" i="6"/>
  <c r="Y17" i="6"/>
  <c r="X17" i="6"/>
  <c r="W17" i="6"/>
  <c r="V17" i="6"/>
  <c r="AF16" i="6"/>
  <c r="AE16" i="6"/>
  <c r="AD16" i="6"/>
  <c r="AC16" i="6"/>
  <c r="AB16" i="6"/>
  <c r="AA16" i="6"/>
  <c r="Z16" i="6"/>
  <c r="Y16" i="6"/>
  <c r="X16" i="6"/>
  <c r="W16" i="6"/>
  <c r="V16" i="6"/>
  <c r="AF15" i="6"/>
  <c r="AE15" i="6"/>
  <c r="AD15" i="6"/>
  <c r="AC15" i="6"/>
  <c r="AB15" i="6"/>
  <c r="AA15" i="6"/>
  <c r="Z15" i="6"/>
  <c r="Y15" i="6"/>
  <c r="X15" i="6"/>
  <c r="W15" i="6"/>
  <c r="V15" i="6"/>
  <c r="AF14" i="6"/>
  <c r="AE14" i="6"/>
  <c r="AD14" i="6"/>
  <c r="AC14" i="6"/>
  <c r="AB14" i="6"/>
  <c r="AA14" i="6"/>
  <c r="Z14" i="6"/>
  <c r="Y14" i="6"/>
  <c r="X14" i="6"/>
  <c r="W14" i="6"/>
  <c r="V14" i="6"/>
  <c r="AF13" i="6"/>
  <c r="AE13" i="6"/>
  <c r="AD13" i="6"/>
  <c r="AC13" i="6"/>
  <c r="AB13" i="6"/>
  <c r="AA13" i="6"/>
  <c r="Z13" i="6"/>
  <c r="Y13" i="6"/>
  <c r="X13" i="6"/>
  <c r="W13" i="6"/>
  <c r="V13" i="6"/>
  <c r="AF12" i="6"/>
  <c r="AE12" i="6"/>
  <c r="AD12" i="6"/>
  <c r="AC12" i="6"/>
  <c r="AB12" i="6"/>
  <c r="AA12" i="6"/>
  <c r="Z12" i="6"/>
  <c r="Y12" i="6"/>
  <c r="X12" i="6"/>
  <c r="W12" i="6"/>
  <c r="V12" i="6"/>
  <c r="AF11" i="6"/>
  <c r="AE11" i="6"/>
  <c r="AD11" i="6"/>
  <c r="AC11" i="6"/>
  <c r="AB11" i="6"/>
  <c r="AA11" i="6"/>
  <c r="Z11" i="6"/>
  <c r="Y11" i="6"/>
  <c r="X11" i="6"/>
  <c r="W11" i="6"/>
  <c r="V11" i="6"/>
  <c r="AF10" i="6"/>
  <c r="AE10" i="6"/>
  <c r="AD10" i="6"/>
  <c r="AC10" i="6"/>
  <c r="AB10" i="6"/>
  <c r="AA10" i="6"/>
  <c r="Z10" i="6"/>
  <c r="Y10" i="6"/>
  <c r="X10" i="6"/>
  <c r="W10" i="6"/>
  <c r="V10" i="6"/>
  <c r="AF9" i="6"/>
  <c r="AE9" i="6"/>
  <c r="AD9" i="6"/>
  <c r="AC9" i="6"/>
  <c r="AB9" i="6"/>
  <c r="AA9" i="6"/>
  <c r="Z9" i="6"/>
  <c r="Y9" i="6"/>
  <c r="X9" i="6"/>
  <c r="W9" i="6"/>
  <c r="V9" i="6"/>
  <c r="AF8" i="6"/>
  <c r="AE8" i="6"/>
  <c r="AD8" i="6"/>
  <c r="AC8" i="6"/>
  <c r="AB8" i="6"/>
  <c r="AA8" i="6"/>
  <c r="Z8" i="6"/>
  <c r="Y8" i="6"/>
  <c r="X8" i="6"/>
  <c r="W8" i="6"/>
  <c r="V8" i="6"/>
  <c r="AF7" i="6"/>
  <c r="AE7" i="6"/>
  <c r="AD7" i="6"/>
  <c r="AC7" i="6"/>
  <c r="AB7" i="6"/>
  <c r="AA7" i="6"/>
  <c r="Z7" i="6"/>
  <c r="Y7" i="6"/>
  <c r="X7" i="6"/>
  <c r="W7" i="6"/>
  <c r="V7" i="6"/>
  <c r="AF6" i="6"/>
  <c r="AE6" i="6"/>
  <c r="AD6" i="6"/>
  <c r="AC6" i="6"/>
  <c r="AB6" i="6"/>
  <c r="AA6" i="6"/>
  <c r="Z6" i="6"/>
  <c r="Y6" i="6"/>
  <c r="X6" i="6"/>
  <c r="W6" i="6"/>
  <c r="V6" i="6"/>
  <c r="AF5" i="6"/>
  <c r="AE5" i="6"/>
  <c r="AD5" i="6"/>
  <c r="AC5" i="6"/>
  <c r="AB5" i="6"/>
  <c r="AA5" i="6"/>
  <c r="Z5" i="6"/>
  <c r="Y5" i="6"/>
  <c r="X5" i="6"/>
  <c r="W5" i="6"/>
  <c r="V5" i="6"/>
  <c r="AF4" i="6"/>
  <c r="AE4" i="6"/>
  <c r="AD4" i="6"/>
  <c r="AC4" i="6"/>
  <c r="AB4" i="6"/>
  <c r="AA4" i="6"/>
  <c r="Z4" i="6"/>
  <c r="Y4" i="6"/>
  <c r="X4" i="6"/>
  <c r="W4" i="6"/>
  <c r="V4" i="6"/>
  <c r="AF3" i="6"/>
  <c r="AE3" i="6"/>
  <c r="AD3" i="6"/>
  <c r="AC3" i="6"/>
  <c r="AB3" i="6"/>
  <c r="AA3" i="6"/>
  <c r="Z3" i="6"/>
  <c r="Y3" i="6"/>
  <c r="X3" i="6"/>
  <c r="W3" i="6"/>
  <c r="V3" i="6"/>
  <c r="AF2" i="6"/>
  <c r="AE2" i="6"/>
  <c r="AD2" i="6"/>
  <c r="AC2" i="6"/>
  <c r="AB2" i="6"/>
  <c r="AA2" i="6"/>
  <c r="Z2" i="6"/>
  <c r="Y2" i="6"/>
  <c r="X2" i="6"/>
  <c r="W2" i="6"/>
  <c r="V2" i="6"/>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2" i="1"/>
  <c r="E38" i="1"/>
  <c r="F38" i="1"/>
  <c r="G38" i="1"/>
  <c r="H38" i="1"/>
  <c r="J38" i="1"/>
  <c r="K38" i="1"/>
  <c r="L38" i="1"/>
  <c r="M38" i="1"/>
  <c r="N38" i="1"/>
  <c r="O38" i="1"/>
  <c r="E39" i="1"/>
  <c r="F39" i="1"/>
  <c r="G39" i="1"/>
  <c r="H39" i="1"/>
  <c r="J39" i="1"/>
  <c r="K39" i="1"/>
  <c r="L39" i="1"/>
  <c r="M39" i="1"/>
  <c r="N39" i="1"/>
  <c r="O39" i="1"/>
  <c r="E40" i="1"/>
  <c r="F40" i="1"/>
  <c r="G40" i="1"/>
  <c r="H40" i="1"/>
  <c r="J40" i="1"/>
  <c r="K40" i="1"/>
  <c r="L40" i="1"/>
  <c r="M40" i="1"/>
  <c r="N40" i="1"/>
  <c r="O40" i="1"/>
  <c r="E41" i="1"/>
  <c r="F41" i="1"/>
  <c r="G41" i="1"/>
  <c r="H41" i="1"/>
  <c r="J41" i="1"/>
  <c r="K41" i="1"/>
  <c r="L41" i="1"/>
  <c r="M41" i="1"/>
  <c r="N41" i="1"/>
  <c r="O41" i="1"/>
  <c r="E42" i="1"/>
  <c r="F42" i="1"/>
  <c r="G42" i="1"/>
  <c r="H42" i="1"/>
  <c r="J42" i="1"/>
  <c r="K42" i="1"/>
  <c r="L42" i="1"/>
  <c r="M42" i="1"/>
  <c r="N42" i="1"/>
  <c r="O42" i="1"/>
  <c r="E43" i="1"/>
  <c r="F43" i="1"/>
  <c r="G43" i="1"/>
  <c r="H43" i="1"/>
  <c r="J43" i="1"/>
  <c r="K43" i="1"/>
  <c r="L43" i="1"/>
  <c r="M43" i="1"/>
  <c r="N43" i="1"/>
  <c r="O43" i="1"/>
  <c r="E44" i="1"/>
  <c r="F44" i="1"/>
  <c r="G44" i="1"/>
  <c r="H44" i="1"/>
  <c r="J44" i="1"/>
  <c r="K44" i="1"/>
  <c r="L44" i="1"/>
  <c r="M44" i="1"/>
  <c r="N44" i="1"/>
  <c r="O44" i="1"/>
  <c r="E45" i="1"/>
  <c r="F45" i="1"/>
  <c r="G45" i="1"/>
  <c r="H45" i="1"/>
  <c r="J45" i="1"/>
  <c r="K45" i="1"/>
  <c r="L45" i="1"/>
  <c r="M45" i="1"/>
  <c r="N45" i="1"/>
  <c r="O45" i="1"/>
  <c r="E46" i="1"/>
  <c r="F46" i="1"/>
  <c r="G46" i="1"/>
  <c r="H46" i="1"/>
  <c r="J46" i="1"/>
  <c r="K46" i="1"/>
  <c r="L46" i="1"/>
  <c r="M46" i="1"/>
  <c r="N46" i="1"/>
  <c r="O46" i="1"/>
  <c r="E47" i="1"/>
  <c r="F47" i="1"/>
  <c r="G47" i="1"/>
  <c r="H47" i="1"/>
  <c r="J47" i="1"/>
  <c r="K47" i="1"/>
  <c r="L47" i="1"/>
  <c r="M47" i="1"/>
  <c r="N47" i="1"/>
  <c r="O47" i="1"/>
  <c r="E48" i="1"/>
  <c r="F48" i="1"/>
  <c r="G48" i="1"/>
  <c r="H48" i="1"/>
  <c r="J48" i="1"/>
  <c r="K48" i="1"/>
  <c r="L48" i="1"/>
  <c r="M48" i="1"/>
  <c r="N48" i="1"/>
  <c r="O48" i="1"/>
  <c r="E49" i="1"/>
  <c r="F49" i="1"/>
  <c r="G49" i="1"/>
  <c r="H49" i="1"/>
  <c r="J49" i="1"/>
  <c r="K49" i="1"/>
  <c r="L49" i="1"/>
  <c r="M49" i="1"/>
  <c r="N49" i="1"/>
  <c r="O49" i="1"/>
  <c r="E3" i="1"/>
  <c r="F3" i="1"/>
  <c r="G3" i="1"/>
  <c r="H3" i="1"/>
  <c r="J3" i="1"/>
  <c r="K3" i="1"/>
  <c r="L3" i="1"/>
  <c r="M3" i="1"/>
  <c r="N3" i="1"/>
  <c r="O3" i="1"/>
  <c r="E4" i="1"/>
  <c r="F4" i="1"/>
  <c r="G4" i="1"/>
  <c r="H4" i="1"/>
  <c r="J4" i="1"/>
  <c r="K4" i="1"/>
  <c r="L4" i="1"/>
  <c r="M4" i="1"/>
  <c r="N4" i="1"/>
  <c r="O4" i="1"/>
  <c r="E5" i="1"/>
  <c r="F5" i="1"/>
  <c r="G5" i="1"/>
  <c r="H5" i="1"/>
  <c r="J5" i="1"/>
  <c r="K5" i="1"/>
  <c r="L5" i="1"/>
  <c r="M5" i="1"/>
  <c r="N5" i="1"/>
  <c r="O5" i="1"/>
  <c r="E6" i="1"/>
  <c r="F6" i="1"/>
  <c r="G6" i="1"/>
  <c r="H6" i="1"/>
  <c r="J6" i="1"/>
  <c r="K6" i="1"/>
  <c r="L6" i="1"/>
  <c r="M6" i="1"/>
  <c r="N6" i="1"/>
  <c r="O6" i="1"/>
  <c r="E7" i="1"/>
  <c r="F7" i="1"/>
  <c r="G7" i="1"/>
  <c r="H7" i="1"/>
  <c r="J7" i="1"/>
  <c r="K7" i="1"/>
  <c r="L7" i="1"/>
  <c r="M7" i="1"/>
  <c r="N7" i="1"/>
  <c r="O7" i="1"/>
  <c r="E8" i="1"/>
  <c r="F8" i="1"/>
  <c r="G8" i="1"/>
  <c r="H8" i="1"/>
  <c r="J8" i="1"/>
  <c r="K8" i="1"/>
  <c r="L8" i="1"/>
  <c r="M8" i="1"/>
  <c r="N8" i="1"/>
  <c r="O8" i="1"/>
  <c r="E9" i="1"/>
  <c r="F9" i="1"/>
  <c r="G9" i="1"/>
  <c r="H9" i="1"/>
  <c r="J9" i="1"/>
  <c r="K9" i="1"/>
  <c r="L9" i="1"/>
  <c r="M9" i="1"/>
  <c r="N9" i="1"/>
  <c r="O9" i="1"/>
  <c r="E10" i="1"/>
  <c r="F10" i="1"/>
  <c r="G10" i="1"/>
  <c r="H10" i="1"/>
  <c r="J10" i="1"/>
  <c r="K10" i="1"/>
  <c r="L10" i="1"/>
  <c r="M10" i="1"/>
  <c r="N10" i="1"/>
  <c r="O10" i="1"/>
  <c r="E11" i="1"/>
  <c r="F11" i="1"/>
  <c r="G11" i="1"/>
  <c r="H11" i="1"/>
  <c r="J11" i="1"/>
  <c r="K11" i="1"/>
  <c r="L11" i="1"/>
  <c r="M11" i="1"/>
  <c r="N11" i="1"/>
  <c r="O11" i="1"/>
  <c r="E12" i="1"/>
  <c r="F12" i="1"/>
  <c r="G12" i="1"/>
  <c r="H12" i="1"/>
  <c r="J12" i="1"/>
  <c r="K12" i="1"/>
  <c r="L12" i="1"/>
  <c r="M12" i="1"/>
  <c r="N12" i="1"/>
  <c r="O12" i="1"/>
  <c r="E13" i="1"/>
  <c r="F13" i="1"/>
  <c r="G13" i="1"/>
  <c r="H13" i="1"/>
  <c r="J13" i="1"/>
  <c r="K13" i="1"/>
  <c r="L13" i="1"/>
  <c r="M13" i="1"/>
  <c r="N13" i="1"/>
  <c r="O13" i="1"/>
  <c r="E14" i="1"/>
  <c r="F14" i="1"/>
  <c r="G14" i="1"/>
  <c r="H14" i="1"/>
  <c r="J14" i="1"/>
  <c r="K14" i="1"/>
  <c r="L14" i="1"/>
  <c r="M14" i="1"/>
  <c r="N14" i="1"/>
  <c r="O14" i="1"/>
  <c r="E15" i="1"/>
  <c r="F15" i="1"/>
  <c r="G15" i="1"/>
  <c r="H15" i="1"/>
  <c r="J15" i="1"/>
  <c r="K15" i="1"/>
  <c r="L15" i="1"/>
  <c r="M15" i="1"/>
  <c r="N15" i="1"/>
  <c r="O15" i="1"/>
  <c r="E16" i="1"/>
  <c r="F16" i="1"/>
  <c r="G16" i="1"/>
  <c r="H16" i="1"/>
  <c r="J16" i="1"/>
  <c r="K16" i="1"/>
  <c r="L16" i="1"/>
  <c r="M16" i="1"/>
  <c r="N16" i="1"/>
  <c r="O16" i="1"/>
  <c r="E17" i="1"/>
  <c r="F17" i="1"/>
  <c r="G17" i="1"/>
  <c r="H17" i="1"/>
  <c r="J17" i="1"/>
  <c r="K17" i="1"/>
  <c r="L17" i="1"/>
  <c r="M17" i="1"/>
  <c r="N17" i="1"/>
  <c r="O17" i="1"/>
  <c r="E18" i="1"/>
  <c r="F18" i="1"/>
  <c r="G18" i="1"/>
  <c r="H18" i="1"/>
  <c r="J18" i="1"/>
  <c r="K18" i="1"/>
  <c r="L18" i="1"/>
  <c r="M18" i="1"/>
  <c r="N18" i="1"/>
  <c r="O18" i="1"/>
  <c r="E19" i="1"/>
  <c r="F19" i="1"/>
  <c r="G19" i="1"/>
  <c r="H19" i="1"/>
  <c r="J19" i="1"/>
  <c r="K19" i="1"/>
  <c r="L19" i="1"/>
  <c r="M19" i="1"/>
  <c r="N19" i="1"/>
  <c r="O19" i="1"/>
  <c r="E20" i="1"/>
  <c r="F20" i="1"/>
  <c r="G20" i="1"/>
  <c r="H20" i="1"/>
  <c r="J20" i="1"/>
  <c r="K20" i="1"/>
  <c r="L20" i="1"/>
  <c r="M20" i="1"/>
  <c r="N20" i="1"/>
  <c r="O20" i="1"/>
  <c r="E21" i="1"/>
  <c r="F21" i="1"/>
  <c r="G21" i="1"/>
  <c r="H21" i="1"/>
  <c r="J21" i="1"/>
  <c r="K21" i="1"/>
  <c r="L21" i="1"/>
  <c r="M21" i="1"/>
  <c r="N21" i="1"/>
  <c r="O21" i="1"/>
  <c r="E22" i="1"/>
  <c r="F22" i="1"/>
  <c r="G22" i="1"/>
  <c r="H22" i="1"/>
  <c r="J22" i="1"/>
  <c r="K22" i="1"/>
  <c r="L22" i="1"/>
  <c r="M22" i="1"/>
  <c r="N22" i="1"/>
  <c r="O22" i="1"/>
  <c r="E23" i="1"/>
  <c r="F23" i="1"/>
  <c r="G23" i="1"/>
  <c r="H23" i="1"/>
  <c r="J23" i="1"/>
  <c r="K23" i="1"/>
  <c r="L23" i="1"/>
  <c r="M23" i="1"/>
  <c r="N23" i="1"/>
  <c r="O23" i="1"/>
  <c r="E24" i="1"/>
  <c r="F24" i="1"/>
  <c r="G24" i="1"/>
  <c r="H24" i="1"/>
  <c r="J24" i="1"/>
  <c r="K24" i="1"/>
  <c r="L24" i="1"/>
  <c r="M24" i="1"/>
  <c r="N24" i="1"/>
  <c r="O24" i="1"/>
  <c r="E25" i="1"/>
  <c r="F25" i="1"/>
  <c r="G25" i="1"/>
  <c r="H25" i="1"/>
  <c r="J25" i="1"/>
  <c r="K25" i="1"/>
  <c r="L25" i="1"/>
  <c r="M25" i="1"/>
  <c r="N25" i="1"/>
  <c r="O25" i="1"/>
  <c r="E26" i="1"/>
  <c r="F26" i="1"/>
  <c r="G26" i="1"/>
  <c r="H26" i="1"/>
  <c r="J26" i="1"/>
  <c r="K26" i="1"/>
  <c r="L26" i="1"/>
  <c r="M26" i="1"/>
  <c r="N26" i="1"/>
  <c r="O26" i="1"/>
  <c r="E27" i="1"/>
  <c r="F27" i="1"/>
  <c r="G27" i="1"/>
  <c r="H27" i="1"/>
  <c r="J27" i="1"/>
  <c r="K27" i="1"/>
  <c r="L27" i="1"/>
  <c r="M27" i="1"/>
  <c r="N27" i="1"/>
  <c r="O27" i="1"/>
  <c r="E28" i="1"/>
  <c r="F28" i="1"/>
  <c r="G28" i="1"/>
  <c r="H28" i="1"/>
  <c r="J28" i="1"/>
  <c r="K28" i="1"/>
  <c r="L28" i="1"/>
  <c r="M28" i="1"/>
  <c r="N28" i="1"/>
  <c r="O28" i="1"/>
  <c r="E29" i="1"/>
  <c r="F29" i="1"/>
  <c r="G29" i="1"/>
  <c r="H29" i="1"/>
  <c r="J29" i="1"/>
  <c r="K29" i="1"/>
  <c r="L29" i="1"/>
  <c r="M29" i="1"/>
  <c r="N29" i="1"/>
  <c r="O29" i="1"/>
  <c r="E30" i="1"/>
  <c r="F30" i="1"/>
  <c r="G30" i="1"/>
  <c r="H30" i="1"/>
  <c r="J30" i="1"/>
  <c r="K30" i="1"/>
  <c r="L30" i="1"/>
  <c r="M30" i="1"/>
  <c r="N30" i="1"/>
  <c r="O30" i="1"/>
  <c r="E31" i="1"/>
  <c r="F31" i="1"/>
  <c r="G31" i="1"/>
  <c r="H31" i="1"/>
  <c r="J31" i="1"/>
  <c r="K31" i="1"/>
  <c r="L31" i="1"/>
  <c r="M31" i="1"/>
  <c r="N31" i="1"/>
  <c r="O31" i="1"/>
  <c r="E32" i="1"/>
  <c r="F32" i="1"/>
  <c r="G32" i="1"/>
  <c r="H32" i="1"/>
  <c r="J32" i="1"/>
  <c r="K32" i="1"/>
  <c r="L32" i="1"/>
  <c r="M32" i="1"/>
  <c r="N32" i="1"/>
  <c r="O32" i="1"/>
  <c r="E33" i="1"/>
  <c r="F33" i="1"/>
  <c r="G33" i="1"/>
  <c r="H33" i="1"/>
  <c r="J33" i="1"/>
  <c r="K33" i="1"/>
  <c r="L33" i="1"/>
  <c r="M33" i="1"/>
  <c r="N33" i="1"/>
  <c r="O33" i="1"/>
  <c r="E34" i="1"/>
  <c r="F34" i="1"/>
  <c r="G34" i="1"/>
  <c r="H34" i="1"/>
  <c r="J34" i="1"/>
  <c r="K34" i="1"/>
  <c r="L34" i="1"/>
  <c r="M34" i="1"/>
  <c r="N34" i="1"/>
  <c r="O34" i="1"/>
  <c r="E35" i="1"/>
  <c r="F35" i="1"/>
  <c r="G35" i="1"/>
  <c r="H35" i="1"/>
  <c r="J35" i="1"/>
  <c r="K35" i="1"/>
  <c r="L35" i="1"/>
  <c r="M35" i="1"/>
  <c r="N35" i="1"/>
  <c r="O35" i="1"/>
  <c r="E36" i="1"/>
  <c r="F36" i="1"/>
  <c r="G36" i="1"/>
  <c r="H36" i="1"/>
  <c r="J36" i="1"/>
  <c r="K36" i="1"/>
  <c r="L36" i="1"/>
  <c r="M36" i="1"/>
  <c r="N36" i="1"/>
  <c r="O36" i="1"/>
  <c r="E37" i="1"/>
  <c r="F37" i="1"/>
  <c r="G37" i="1"/>
  <c r="H37" i="1"/>
  <c r="J37" i="1"/>
  <c r="K37" i="1"/>
  <c r="L37" i="1"/>
  <c r="M37" i="1"/>
  <c r="N37" i="1"/>
  <c r="O37" i="1"/>
  <c r="O2" i="1"/>
  <c r="N2" i="1"/>
  <c r="M2" i="1"/>
  <c r="L2" i="1"/>
  <c r="K2" i="1"/>
  <c r="J2" i="1"/>
  <c r="H2" i="1"/>
  <c r="G2" i="1"/>
  <c r="F2" i="1"/>
  <c r="E2" i="1"/>
  <c r="T44" i="6" l="1"/>
  <c r="T48" i="6"/>
  <c r="T46" i="6"/>
  <c r="T40" i="6"/>
  <c r="T38" i="6"/>
  <c r="T42" i="6"/>
  <c r="T43" i="6"/>
  <c r="T49" i="6"/>
  <c r="T47" i="6"/>
  <c r="T45" i="6"/>
  <c r="T41" i="6"/>
  <c r="T39" i="6"/>
  <c r="C38" i="1"/>
  <c r="C41" i="1"/>
  <c r="C45" i="1"/>
  <c r="C40" i="1"/>
  <c r="C44" i="1"/>
  <c r="C46" i="1"/>
  <c r="C49" i="1"/>
  <c r="C48" i="1"/>
  <c r="C47" i="1"/>
  <c r="C39" i="1"/>
  <c r="C43" i="1"/>
  <c r="C42" i="1"/>
</calcChain>
</file>

<file path=xl/sharedStrings.xml><?xml version="1.0" encoding="utf-8"?>
<sst xmlns="http://schemas.openxmlformats.org/spreadsheetml/2006/main" count="318" uniqueCount="69">
  <si>
    <t>Jan</t>
  </si>
  <si>
    <t>Feb</t>
  </si>
  <si>
    <t>Mar</t>
  </si>
  <si>
    <t>Apr</t>
  </si>
  <si>
    <t>May</t>
  </si>
  <si>
    <t>Jun</t>
  </si>
  <si>
    <t>Jul</t>
  </si>
  <si>
    <t>Aug</t>
  </si>
  <si>
    <t>Sep</t>
  </si>
  <si>
    <t>Oct</t>
  </si>
  <si>
    <t>Nov</t>
  </si>
  <si>
    <t>Dec</t>
  </si>
  <si>
    <t>Month Name</t>
  </si>
  <si>
    <t>Year</t>
  </si>
  <si>
    <t>Month (t)</t>
  </si>
  <si>
    <t>Jan (X1)</t>
  </si>
  <si>
    <t>Feb (X2)</t>
  </si>
  <si>
    <t>Mar (X3)</t>
  </si>
  <si>
    <t>Apr (X4)</t>
  </si>
  <si>
    <t>May(X5)</t>
  </si>
  <si>
    <t>Jun (X6)</t>
  </si>
  <si>
    <t>July (X7)</t>
  </si>
  <si>
    <t>Aug (X8)</t>
  </si>
  <si>
    <t>Sep (X9)</t>
  </si>
  <si>
    <t>Oct (X10)</t>
  </si>
  <si>
    <t>Nov (X11)</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</si>
  <si>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</si>
  <si>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</si>
  <si>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</si>
  <si>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</si>
  <si>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</si>
  <si>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</si>
  <si>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</si>
  <si>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</si>
  <si>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</si>
  <si>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</si>
  <si>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</si>
  <si>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</si>
  <si>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</si>
  <si>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</si>
  <si>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</si>
  <si>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</si>
  <si>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</si>
  <si>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</si>
  <si>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</si>
  <si>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</si>
  <si>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</si>
  <si>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</si>
  <si>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</si>
  <si>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</si>
  <si>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Sales = 199.25 + (1.01 * t) + (49.86 * X1) +(29.17*X2) + (33.49*X3) + (-23.53*X4) + (-20.88*X5)+ (-67.90*X6) +(-62.58*X7) + (-57.26*X8) + (-101.28*X9) + (-85.63*X10) + (-58.65*X11)</t>
  </si>
  <si>
    <t>ME</t>
  </si>
  <si>
    <t>MAE</t>
  </si>
  <si>
    <t>MSE</t>
  </si>
  <si>
    <t>MAPE</t>
  </si>
  <si>
    <t>VINTAGE RESTRAUNT</t>
  </si>
  <si>
    <t>CASE 1</t>
  </si>
  <si>
    <t>Reporter: Julian Lara</t>
  </si>
  <si>
    <r>
      <t>Month (</t>
    </r>
    <r>
      <rPr>
        <b/>
        <sz val="12"/>
        <color rgb="FF0070C0"/>
        <rFont val="Times New Roman"/>
        <family val="1"/>
      </rPr>
      <t>t</t>
    </r>
    <r>
      <rPr>
        <b/>
        <sz val="12"/>
        <rFont val="Times New Roman"/>
        <family val="1"/>
      </rPr>
      <t>)</t>
    </r>
  </si>
  <si>
    <t>Time Series Analysis:</t>
  </si>
  <si>
    <r>
      <t xml:space="preserve">Sales = 199.25 + (1.01 * </t>
    </r>
    <r>
      <rPr>
        <b/>
        <i/>
        <sz val="12"/>
        <color rgb="FF0070C0"/>
        <rFont val="Times New Roman"/>
        <family val="1"/>
      </rPr>
      <t>t</t>
    </r>
    <r>
      <rPr>
        <b/>
        <i/>
        <sz val="12"/>
        <rFont val="Times New Roman"/>
        <family val="1"/>
      </rPr>
      <t xml:space="preserve">) + (49.86 * </t>
    </r>
    <r>
      <rPr>
        <b/>
        <i/>
        <sz val="12"/>
        <color theme="5"/>
        <rFont val="Times New Roman"/>
        <family val="1"/>
      </rPr>
      <t>X1</t>
    </r>
    <r>
      <rPr>
        <b/>
        <i/>
        <sz val="12"/>
        <rFont val="Times New Roman"/>
        <family val="1"/>
      </rPr>
      <t>) +(29.17*</t>
    </r>
    <r>
      <rPr>
        <b/>
        <i/>
        <sz val="12"/>
        <color theme="5"/>
        <rFont val="Times New Roman"/>
        <family val="1"/>
      </rPr>
      <t>X2</t>
    </r>
    <r>
      <rPr>
        <b/>
        <i/>
        <sz val="12"/>
        <rFont val="Times New Roman"/>
        <family val="1"/>
      </rPr>
      <t>) + (33.49*</t>
    </r>
    <r>
      <rPr>
        <b/>
        <i/>
        <sz val="12"/>
        <color theme="5"/>
        <rFont val="Times New Roman"/>
        <family val="1"/>
      </rPr>
      <t>X3</t>
    </r>
    <r>
      <rPr>
        <b/>
        <i/>
        <sz val="12"/>
        <rFont val="Times New Roman"/>
        <family val="1"/>
      </rPr>
      <t>) + (-23.53*</t>
    </r>
    <r>
      <rPr>
        <b/>
        <i/>
        <sz val="12"/>
        <color theme="5"/>
        <rFont val="Times New Roman"/>
        <family val="1"/>
      </rPr>
      <t>X4</t>
    </r>
    <r>
      <rPr>
        <b/>
        <i/>
        <sz val="12"/>
        <rFont val="Times New Roman"/>
        <family val="1"/>
      </rPr>
      <t>) + (-20.88*</t>
    </r>
    <r>
      <rPr>
        <b/>
        <i/>
        <sz val="12"/>
        <color theme="5"/>
        <rFont val="Times New Roman"/>
        <family val="1"/>
      </rPr>
      <t>X5</t>
    </r>
    <r>
      <rPr>
        <b/>
        <i/>
        <sz val="12"/>
        <rFont val="Times New Roman"/>
        <family val="1"/>
      </rPr>
      <t>)+ (-67.90*</t>
    </r>
    <r>
      <rPr>
        <b/>
        <i/>
        <sz val="12"/>
        <color theme="5"/>
        <rFont val="Times New Roman"/>
        <family val="1"/>
      </rPr>
      <t>X6</t>
    </r>
    <r>
      <rPr>
        <b/>
        <i/>
        <sz val="12"/>
        <rFont val="Times New Roman"/>
        <family val="1"/>
      </rPr>
      <t>) +(-62.58*</t>
    </r>
    <r>
      <rPr>
        <b/>
        <i/>
        <sz val="12"/>
        <color theme="5"/>
        <rFont val="Times New Roman"/>
        <family val="1"/>
      </rPr>
      <t>X7</t>
    </r>
    <r>
      <rPr>
        <b/>
        <i/>
        <sz val="12"/>
        <rFont val="Times New Roman"/>
        <family val="1"/>
      </rPr>
      <t>) + (-57.26*</t>
    </r>
    <r>
      <rPr>
        <b/>
        <i/>
        <sz val="12"/>
        <color theme="5"/>
        <rFont val="Times New Roman"/>
        <family val="1"/>
      </rPr>
      <t>X8</t>
    </r>
    <r>
      <rPr>
        <b/>
        <i/>
        <sz val="12"/>
        <rFont val="Times New Roman"/>
        <family val="1"/>
      </rPr>
      <t>) + (-101.28*</t>
    </r>
    <r>
      <rPr>
        <b/>
        <i/>
        <sz val="12"/>
        <color theme="5"/>
        <rFont val="Times New Roman"/>
        <family val="1"/>
      </rPr>
      <t>X9</t>
    </r>
    <r>
      <rPr>
        <b/>
        <i/>
        <sz val="12"/>
        <rFont val="Times New Roman"/>
        <family val="1"/>
      </rPr>
      <t>) + (-85.63*</t>
    </r>
    <r>
      <rPr>
        <b/>
        <i/>
        <sz val="12"/>
        <color theme="5"/>
        <rFont val="Times New Roman"/>
        <family val="1"/>
      </rPr>
      <t>X10</t>
    </r>
    <r>
      <rPr>
        <b/>
        <i/>
        <sz val="12"/>
        <rFont val="Times New Roman"/>
        <family val="1"/>
      </rPr>
      <t>) + (-58.65*</t>
    </r>
    <r>
      <rPr>
        <b/>
        <i/>
        <sz val="12"/>
        <color theme="5"/>
        <rFont val="Times New Roman"/>
        <family val="1"/>
      </rPr>
      <t>X11</t>
    </r>
    <r>
      <rPr>
        <b/>
        <i/>
        <sz val="12"/>
        <rFont val="Times New Roman"/>
        <family val="1"/>
      </rPr>
      <t>)</t>
    </r>
  </si>
  <si>
    <t xml:space="preserve">Sales (y) </t>
  </si>
  <si>
    <t xml:space="preserve">This line chart depicted above reperesents actual data from Years 1, 2 and 3 for Vintage Resatrunt with a Trend and Seasonality forecast in Year 4.
From the visualiation of this line chart it is clear that Vintage Restraunt experiences a 12 month seasonality. 
The business has the highest sales in January, and declines across the next few months until it reaches its lowest sales in the month of September. After the lowest trough, October, Novemeber, and December sales trend upward until the record breaking peak in sales is reached again in the first month of the New Year.
By analyzing each peak and trough over the 3 years of actual data, it evident that there is a slight increase each year. Therfore approaching the forecast with a Trend and 12period seasnality approach is best fit for the forecast.
</t>
  </si>
  <si>
    <t>Sales Forecast &amp; Analysis</t>
  </si>
  <si>
    <t xml:space="preserve">This Forecast model utilizes a trend and 12 month seasonality. 
To first capture trend we included a column to reperesent the months starting with 1 and incrementing by 1. This is represented by Column D, "Month (t)" which represents the slope of the regression. This can be ineterepeted that for every additonal month and all things remaining constant, tthere will be 1.02 more sales.
To then capture how each unique month effects the slope while all other variables reamins constant, we introduce 'dummy variables'. This is captured in Columns E - O "X1 - X11". Where December is referred to as the reference class when all variables are 0 or "False".
Therefore, by utlizing a regression analysis with Sales, Month(t), and Dummy variables X1-X11 we are able to find the coefficients need to build a predictive model equation as follows:
Sales = 199.25 + (1.01 * t) + (49.86 * X1) + (29.17 * X2) + (33.49 * X3) + (-23.53 * X4) + (-20.88 * X5) + (-67.90 * X6) + (-62.58 * X7) + (-57.26 * X8) + (-101.28 * X9) + (-85.63 * X10) + (-58.65 * X11)
In cells D38: D49 we continue to increment (t) and fill down the dummy variables and plug in the respective variables for each row giving athe forecast results in cells C38:C49.
According to the analysis and "R square", 99.4% of the change in sales can be justified by this regression equation.
</t>
  </si>
  <si>
    <t>Jan Comparison</t>
  </si>
  <si>
    <t>FCST Model &amp; Insights</t>
  </si>
  <si>
    <t>Assuming that the Actual Sales in January for year 4 resulted in 295K, there would only be an 8K &amp; 2.8% variance. Which is a low error or a forecast which is most typically completed at 95% confidence level.
To assure the accuracy of this forecast, a potential method which can give confidence to the forecast is to utilize the other forecasting methods and show how the error is larger than this one. Additionally, by looking a the R Square at 99%, it is clear that we have identified the significant relationships between sales and the variables of time and months.</t>
  </si>
  <si>
    <t>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</si>
</sst>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0"/>
    <numFmt numFmtId="173" formatCode="0.0%"/>
  </numFmts>
  <fonts count="20" x14ac:knownFonts="1">
    <font>
      <sz val="12"/>
      <name val="Times New Roman"/>
    </font>
    <font>
      <b/>
      <sz val="12"/>
      <name val="Times New Roman"/>
      <family val="1"/>
    </font>
    <font>
      <sz val="8"/>
      <name val="Times New Roman"/>
      <family val="1"/>
    </font>
    <font>
      <sz val="12"/>
      <name val="Times New Roman"/>
      <family val="1"/>
    </font>
    <font>
      <i/>
      <sz val="12"/>
      <name val="Times New Roman"/>
      <family val="1"/>
    </font>
    <font>
      <b/>
      <i/>
      <sz val="12"/>
      <name val="Times New Roman"/>
      <family val="1"/>
    </font>
    <font>
      <sz val="12"/>
      <name val="Times New Roman"/>
      <family val="1"/>
    </font>
    <font>
      <b/>
      <sz val="14"/>
      <name val="Times New Roman"/>
      <family val="1"/>
    </font>
    <font>
      <b/>
      <sz val="72"/>
      <name val="Times New Roman"/>
      <family val="1"/>
    </font>
    <font>
      <sz val="24"/>
      <name val="Times New Roman"/>
      <family val="1"/>
    </font>
    <font>
      <sz val="48"/>
      <name val="Times New Roman"/>
      <family val="1"/>
    </font>
    <font>
      <b/>
      <sz val="12"/>
      <color rgb="FF0070C0"/>
      <name val="Times New Roman"/>
      <family val="1"/>
    </font>
    <font>
      <b/>
      <i/>
      <sz val="12"/>
      <color rgb="FF0070C0"/>
      <name val="Times New Roman"/>
      <family val="1"/>
    </font>
    <font>
      <b/>
      <i/>
      <sz val="12"/>
      <color theme="5"/>
      <name val="Times New Roman"/>
      <family val="1"/>
    </font>
    <font>
      <b/>
      <sz val="12"/>
      <color theme="0"/>
      <name val="Times New Roman"/>
      <family val="1"/>
    </font>
    <font>
      <sz val="12"/>
      <color theme="0"/>
      <name val="Times New Roman"/>
      <family val="1"/>
    </font>
    <font>
      <sz val="12"/>
      <color theme="1"/>
      <name val="Times New Roman"/>
      <family val="1"/>
    </font>
    <font>
      <i/>
      <sz val="12"/>
      <color theme="0"/>
      <name val="Times New Roman"/>
      <family val="1"/>
    </font>
    <font>
      <b/>
      <i/>
      <sz val="12"/>
      <color theme="0"/>
      <name val="Times New Roman"/>
      <family val="1"/>
    </font>
    <font>
      <sz val="12"/>
      <color rgb="FFFF0000"/>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medium">
        <color indexed="64"/>
      </bottom>
      <diagonal/>
    </border>
    <border>
      <left/>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9" fontId="6" fillId="0" borderId="0" applyFont="0" applyFill="0" applyBorder="0" applyAlignment="0" applyProtection="0"/>
  </cellStyleXfs>
  <cellXfs count="41">
    <xf numFmtId="0" fontId="0" fillId="0" borderId="0" xfId="0"/>
    <xf numFmtId="0" fontId="1" fillId="0" borderId="0" xfId="0" applyFont="1" applyAlignment="1">
      <alignment horizontal="center"/>
    </xf>
    <xf numFmtId="0" fontId="3" fillId="0" borderId="0" xfId="0" applyFont="1"/>
    <xf numFmtId="0" fontId="1" fillId="0" borderId="0" xfId="0" applyFont="1"/>
    <xf numFmtId="0" fontId="0" fillId="0" borderId="1" xfId="0" applyBorder="1"/>
    <xf numFmtId="0" fontId="4" fillId="0" borderId="2" xfId="0" applyFont="1" applyBorder="1" applyAlignment="1">
      <alignment horizontal="center"/>
    </xf>
    <xf numFmtId="0" fontId="4" fillId="0" borderId="2" xfId="0" applyFont="1" applyBorder="1" applyAlignment="1">
      <alignment horizontal="centerContinuous"/>
    </xf>
    <xf numFmtId="2" fontId="0" fillId="0" borderId="0" xfId="0" applyNumberFormat="1"/>
    <xf numFmtId="2" fontId="0" fillId="0" borderId="1" xfId="0" applyNumberFormat="1" applyBorder="1"/>
    <xf numFmtId="0" fontId="5" fillId="0" borderId="0" xfId="0" applyFont="1"/>
    <xf numFmtId="165" fontId="0" fillId="0" borderId="0" xfId="0" applyNumberFormat="1"/>
    <xf numFmtId="0" fontId="0" fillId="2" borderId="0" xfId="0" applyFill="1"/>
    <xf numFmtId="0" fontId="0" fillId="2" borderId="3" xfId="0" applyFill="1" applyBorder="1"/>
    <xf numFmtId="0" fontId="0" fillId="2" borderId="1" xfId="0" applyFill="1" applyBorder="1"/>
    <xf numFmtId="0" fontId="0" fillId="2" borderId="4" xfId="0" applyFill="1" applyBorder="1"/>
    <xf numFmtId="0" fontId="7" fillId="0" borderId="0" xfId="0" applyFont="1"/>
    <xf numFmtId="0" fontId="9" fillId="2" borderId="0" xfId="0" applyFont="1" applyFill="1" applyAlignment="1">
      <alignment horizontal="center"/>
    </xf>
    <xf numFmtId="0" fontId="10" fillId="2" borderId="0" xfId="0" applyFont="1" applyFill="1" applyAlignment="1">
      <alignment horizontal="center"/>
    </xf>
    <xf numFmtId="0" fontId="3" fillId="0" borderId="0" xfId="0" applyFont="1" applyAlignment="1">
      <alignment horizontal="left" vertical="top" wrapText="1"/>
    </xf>
    <xf numFmtId="165" fontId="0" fillId="0" borderId="1" xfId="0" applyNumberFormat="1" applyBorder="1"/>
    <xf numFmtId="0" fontId="14" fillId="0" borderId="0" xfId="0" applyFont="1" applyFill="1"/>
    <xf numFmtId="0" fontId="14" fillId="0" borderId="0" xfId="0" applyFont="1" applyFill="1" applyAlignment="1">
      <alignment horizontal="center"/>
    </xf>
    <xf numFmtId="0" fontId="15" fillId="0" borderId="0" xfId="0" applyFont="1" applyFill="1"/>
    <xf numFmtId="0" fontId="16" fillId="0" borderId="0" xfId="0" applyFont="1" applyFill="1"/>
    <xf numFmtId="0" fontId="11" fillId="0" borderId="0" xfId="0" applyFont="1" applyFill="1"/>
    <xf numFmtId="1" fontId="11" fillId="0" borderId="0" xfId="0" applyNumberFormat="1" applyFont="1" applyFill="1"/>
    <xf numFmtId="0" fontId="15" fillId="0" borderId="0" xfId="0" applyFont="1"/>
    <xf numFmtId="1" fontId="14" fillId="0" borderId="0" xfId="0" applyNumberFormat="1" applyFont="1" applyFill="1"/>
    <xf numFmtId="0" fontId="17" fillId="0" borderId="2" xfId="0" applyFont="1" applyBorder="1" applyAlignment="1">
      <alignment horizontal="centerContinuous"/>
    </xf>
    <xf numFmtId="0" fontId="15" fillId="0" borderId="1" xfId="0" applyFont="1" applyBorder="1"/>
    <xf numFmtId="0" fontId="17" fillId="0" borderId="2" xfId="0" applyFont="1" applyBorder="1" applyAlignment="1">
      <alignment horizontal="center"/>
    </xf>
    <xf numFmtId="2" fontId="15" fillId="0" borderId="0" xfId="0" applyNumberFormat="1" applyFont="1"/>
    <xf numFmtId="165" fontId="15" fillId="0" borderId="0" xfId="0" applyNumberFormat="1" applyFont="1"/>
    <xf numFmtId="2" fontId="15" fillId="0" borderId="1" xfId="0" applyNumberFormat="1" applyFont="1" applyBorder="1"/>
    <xf numFmtId="165" fontId="15" fillId="0" borderId="1" xfId="0" applyNumberFormat="1" applyFont="1" applyBorder="1"/>
    <xf numFmtId="0" fontId="18" fillId="0" borderId="0" xfId="0" applyFont="1"/>
    <xf numFmtId="0" fontId="8" fillId="2" borderId="0" xfId="0" applyFont="1" applyFill="1" applyAlignment="1">
      <alignment horizontal="center"/>
    </xf>
    <xf numFmtId="1" fontId="0" fillId="0" borderId="0" xfId="0" applyNumberFormat="1"/>
    <xf numFmtId="173" fontId="0" fillId="0" borderId="0" xfId="1" applyNumberFormat="1" applyFont="1"/>
    <xf numFmtId="10" fontId="0" fillId="0" borderId="0" xfId="1" applyNumberFormat="1" applyFont="1"/>
    <xf numFmtId="173" fontId="19" fillId="0" borderId="0" xfId="1"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US"/>
              <a:t>4 Year Sales Trend &amp; Forecast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US"/>
        </a:p>
      </c:txPr>
    </c:title>
    <c:autoTitleDeleted val="0"/>
    <c:plotArea>
      <c:layout>
        <c:manualLayout>
          <c:layoutTarget val="inner"/>
          <c:xMode val="edge"/>
          <c:yMode val="edge"/>
          <c:x val="3.1475522855328224E-2"/>
          <c:y val="0.11371194990932255"/>
          <c:w val="0.95418188268834947"/>
          <c:h val="0.78209077500516522"/>
        </c:manualLayout>
      </c:layout>
      <c:lineChart>
        <c:grouping val="standard"/>
        <c:varyColors val="0"/>
        <c:ser>
          <c:idx val="0"/>
          <c:order val="0"/>
          <c:tx>
            <c:strRef>
              <c:f>'Time Series Analysis'!$T$1</c:f>
              <c:strCache>
                <c:ptCount val="1"/>
                <c:pt idx="0">
                  <c:v>Sales (y) </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cat>
            <c:multiLvlStrRef>
              <c:f>'Time Series Analysis'!$R$2:$S$49</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1</c:v>
                  </c:pt>
                  <c:pt idx="12">
                    <c:v>2</c:v>
                  </c:pt>
                  <c:pt idx="24">
                    <c:v>3</c:v>
                  </c:pt>
                  <c:pt idx="36">
                    <c:v>4</c:v>
                  </c:pt>
                </c:lvl>
              </c:multiLvlStrCache>
            </c:multiLvlStrRef>
          </c:cat>
          <c:val>
            <c:numRef>
              <c:f>'Time Series Analysis'!$T$2:$T$49</c:f>
              <c:numCache>
                <c:formatCode>General</c:formatCode>
                <c:ptCount val="48"/>
                <c:pt idx="0">
                  <c:v>242</c:v>
                </c:pt>
                <c:pt idx="1">
                  <c:v>235</c:v>
                </c:pt>
                <c:pt idx="2">
                  <c:v>232</c:v>
                </c:pt>
                <c:pt idx="3">
                  <c:v>178</c:v>
                </c:pt>
                <c:pt idx="4">
                  <c:v>184</c:v>
                </c:pt>
                <c:pt idx="5">
                  <c:v>140</c:v>
                </c:pt>
                <c:pt idx="6">
                  <c:v>145</c:v>
                </c:pt>
                <c:pt idx="7">
                  <c:v>152</c:v>
                </c:pt>
                <c:pt idx="8">
                  <c:v>110</c:v>
                </c:pt>
                <c:pt idx="9">
                  <c:v>130</c:v>
                </c:pt>
                <c:pt idx="10">
                  <c:v>152</c:v>
                </c:pt>
                <c:pt idx="11">
                  <c:v>206</c:v>
                </c:pt>
                <c:pt idx="12">
                  <c:v>263</c:v>
                </c:pt>
                <c:pt idx="13">
                  <c:v>238</c:v>
                </c:pt>
                <c:pt idx="14">
                  <c:v>247</c:v>
                </c:pt>
                <c:pt idx="15">
                  <c:v>193</c:v>
                </c:pt>
                <c:pt idx="16">
                  <c:v>193</c:v>
                </c:pt>
                <c:pt idx="17">
                  <c:v>149</c:v>
                </c:pt>
                <c:pt idx="18">
                  <c:v>157</c:v>
                </c:pt>
                <c:pt idx="19">
                  <c:v>161</c:v>
                </c:pt>
                <c:pt idx="20">
                  <c:v>122</c:v>
                </c:pt>
                <c:pt idx="21">
                  <c:v>130</c:v>
                </c:pt>
                <c:pt idx="22">
                  <c:v>167</c:v>
                </c:pt>
                <c:pt idx="23">
                  <c:v>230</c:v>
                </c:pt>
                <c:pt idx="24">
                  <c:v>282</c:v>
                </c:pt>
                <c:pt idx="25">
                  <c:v>255</c:v>
                </c:pt>
                <c:pt idx="26">
                  <c:v>265</c:v>
                </c:pt>
                <c:pt idx="27">
                  <c:v>205</c:v>
                </c:pt>
                <c:pt idx="28">
                  <c:v>210</c:v>
                </c:pt>
                <c:pt idx="29">
                  <c:v>160</c:v>
                </c:pt>
                <c:pt idx="30">
                  <c:v>166</c:v>
                </c:pt>
                <c:pt idx="31">
                  <c:v>174</c:v>
                </c:pt>
                <c:pt idx="32">
                  <c:v>126</c:v>
                </c:pt>
                <c:pt idx="33">
                  <c:v>148</c:v>
                </c:pt>
                <c:pt idx="34">
                  <c:v>173</c:v>
                </c:pt>
                <c:pt idx="35">
                  <c:v>235</c:v>
                </c:pt>
                <c:pt idx="36" formatCode="0">
                  <c:v>286.74999999999994</c:v>
                </c:pt>
                <c:pt idx="37" formatCode="0">
                  <c:v>267.08333333333337</c:v>
                </c:pt>
                <c:pt idx="38" formatCode="0">
                  <c:v>272.41666666666663</c:v>
                </c:pt>
                <c:pt idx="39" formatCode="0">
                  <c:v>216.41666666666669</c:v>
                </c:pt>
                <c:pt idx="40" formatCode="0">
                  <c:v>220.08333333333331</c:v>
                </c:pt>
                <c:pt idx="41" formatCode="0">
                  <c:v>174.08333333333334</c:v>
                </c:pt>
                <c:pt idx="42" formatCode="0">
                  <c:v>180.41666666666669</c:v>
                </c:pt>
                <c:pt idx="43" formatCode="0">
                  <c:v>186.75</c:v>
                </c:pt>
                <c:pt idx="44" formatCode="0">
                  <c:v>143.75000000000003</c:v>
                </c:pt>
                <c:pt idx="45" formatCode="0">
                  <c:v>160.41666666666663</c:v>
                </c:pt>
                <c:pt idx="46" formatCode="0">
                  <c:v>188.41666666666663</c:v>
                </c:pt>
                <c:pt idx="47" formatCode="0">
                  <c:v>248.08333333333334</c:v>
                </c:pt>
              </c:numCache>
            </c:numRef>
          </c:val>
          <c:smooth val="0"/>
          <c:extLst>
            <c:ext xmlns:c16="http://schemas.microsoft.com/office/drawing/2014/chart" uri="{C3380CC4-5D6E-409C-BE32-E72D297353CC}">
              <c16:uniqueId val="{00000004-B76F-9A40-97A5-8AF23A542D4F}"/>
            </c:ext>
          </c:extLst>
        </c:ser>
        <c:dLbls>
          <c:showLegendKey val="0"/>
          <c:showVal val="0"/>
          <c:showCatName val="0"/>
          <c:showSerName val="0"/>
          <c:showPercent val="0"/>
          <c:showBubbleSize val="0"/>
        </c:dLbls>
        <c:marker val="1"/>
        <c:smooth val="0"/>
        <c:axId val="405025439"/>
        <c:axId val="405027167"/>
      </c:lineChart>
      <c:catAx>
        <c:axId val="405025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405027167"/>
        <c:crosses val="autoZero"/>
        <c:auto val="1"/>
        <c:lblAlgn val="ctr"/>
        <c:lblOffset val="100"/>
        <c:noMultiLvlLbl val="0"/>
      </c:catAx>
      <c:valAx>
        <c:axId val="40502716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0502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122904</xdr:colOff>
      <xdr:row>0</xdr:row>
      <xdr:rowOff>0</xdr:rowOff>
    </xdr:from>
    <xdr:to>
      <xdr:col>15</xdr:col>
      <xdr:colOff>200451</xdr:colOff>
      <xdr:row>25</xdr:row>
      <xdr:rowOff>109247</xdr:rowOff>
    </xdr:to>
    <xdr:graphicFrame macro="">
      <xdr:nvGraphicFramePr>
        <xdr:cNvPr id="2" name="Chart 1">
          <a:extLst>
            <a:ext uri="{FF2B5EF4-FFF2-40B4-BE49-F238E27FC236}">
              <a16:creationId xmlns:a16="http://schemas.microsoft.com/office/drawing/2014/main" id="{C602E97C-13AA-1648-AD92-B3F8615D8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85E5-0006-C843-96E1-742498A9CCC1}">
  <dimension ref="A1:M7"/>
  <sheetViews>
    <sheetView tabSelected="1" workbookViewId="0">
      <selection activeCell="K19" sqref="K19"/>
    </sheetView>
  </sheetViews>
  <sheetFormatPr baseColWidth="10" defaultRowHeight="16" x14ac:dyDescent="0.2"/>
  <cols>
    <col min="1" max="16384" width="10.83203125" style="11"/>
  </cols>
  <sheetData>
    <row r="1" spans="1:13" ht="89" x14ac:dyDescent="0.85">
      <c r="A1" s="36" t="s">
        <v>55</v>
      </c>
      <c r="B1" s="36"/>
      <c r="C1" s="36"/>
      <c r="D1" s="36"/>
      <c r="E1" s="36"/>
      <c r="F1" s="36"/>
      <c r="G1" s="36"/>
      <c r="H1" s="36"/>
      <c r="I1" s="36"/>
      <c r="J1" s="36"/>
      <c r="K1" s="36"/>
      <c r="L1" s="36"/>
      <c r="M1" s="36"/>
    </row>
    <row r="2" spans="1:13" ht="89" x14ac:dyDescent="0.85">
      <c r="A2" s="36" t="s">
        <v>56</v>
      </c>
      <c r="B2" s="36"/>
      <c r="C2" s="36"/>
      <c r="D2" s="36"/>
      <c r="E2" s="36"/>
      <c r="F2" s="36"/>
      <c r="G2" s="36"/>
      <c r="H2" s="36"/>
      <c r="I2" s="36"/>
      <c r="J2" s="36"/>
      <c r="K2" s="36"/>
      <c r="L2" s="36"/>
      <c r="M2" s="36"/>
    </row>
    <row r="6" spans="1:13" ht="59" x14ac:dyDescent="0.55000000000000004">
      <c r="A6" s="17" t="s">
        <v>63</v>
      </c>
      <c r="B6" s="17"/>
      <c r="C6" s="17"/>
      <c r="D6" s="17"/>
      <c r="E6" s="17"/>
      <c r="F6" s="17"/>
      <c r="G6" s="17"/>
      <c r="H6" s="17"/>
      <c r="I6" s="17"/>
      <c r="J6" s="17"/>
      <c r="K6" s="17"/>
      <c r="L6" s="17"/>
      <c r="M6" s="17"/>
    </row>
    <row r="7" spans="1:13" ht="30" x14ac:dyDescent="0.3">
      <c r="A7" s="16" t="s">
        <v>57</v>
      </c>
      <c r="B7" s="16"/>
      <c r="C7" s="16"/>
      <c r="D7" s="16"/>
      <c r="E7" s="16"/>
      <c r="F7" s="16"/>
      <c r="G7" s="16"/>
      <c r="H7" s="16"/>
      <c r="I7" s="16"/>
      <c r="J7" s="16"/>
      <c r="K7" s="16"/>
      <c r="L7" s="16"/>
      <c r="M7" s="16"/>
    </row>
  </sheetData>
  <mergeCells count="4">
    <mergeCell ref="A6:M6"/>
    <mergeCell ref="A7:M7"/>
    <mergeCell ref="A1:M1"/>
    <mergeCell ref="A2: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75C34-5F3F-8444-9B75-A396B28206FB}">
  <dimension ref="A1:AH99"/>
  <sheetViews>
    <sheetView zoomScale="139" zoomScaleNormal="139" workbookViewId="0">
      <selection activeCell="A28" sqref="A28:P42"/>
    </sheetView>
  </sheetViews>
  <sheetFormatPr baseColWidth="10" defaultColWidth="8.83203125" defaultRowHeight="16" x14ac:dyDescent="0.2"/>
  <cols>
    <col min="1" max="1" width="9" style="23" bestFit="1" customWidth="1"/>
    <col min="2" max="2" width="12.6640625" style="23" bestFit="1" customWidth="1"/>
    <col min="3" max="3" width="9.1640625" style="23" bestFit="1" customWidth="1"/>
    <col min="4" max="4" width="10.33203125" style="23" bestFit="1" customWidth="1"/>
    <col min="5" max="5" width="9.83203125" style="23" bestFit="1" customWidth="1"/>
    <col min="6" max="14" width="9.1640625" style="23" customWidth="1"/>
    <col min="15" max="15" width="9.83203125" style="23" customWidth="1"/>
    <col min="16" max="16" width="3.5" customWidth="1"/>
    <col min="17" max="17" width="1.5" customWidth="1"/>
    <col min="18" max="18" width="9.1640625" style="26" customWidth="1"/>
    <col min="19" max="19" width="11.1640625" style="26" customWidth="1"/>
    <col min="20" max="20" width="9.1640625" style="26" customWidth="1"/>
    <col min="21" max="21" width="12.6640625" style="26" customWidth="1"/>
    <col min="22" max="22" width="14.33203125" style="26" customWidth="1"/>
    <col min="23" max="25" width="9" style="26" customWidth="1"/>
    <col min="26" max="33" width="8.83203125" style="26" customWidth="1"/>
    <col min="34" max="34" width="8.83203125" style="26"/>
  </cols>
  <sheetData>
    <row r="1" spans="18:32" x14ac:dyDescent="0.2">
      <c r="R1" s="20" t="s">
        <v>13</v>
      </c>
      <c r="S1" s="20" t="s">
        <v>12</v>
      </c>
      <c r="T1" s="21" t="s">
        <v>61</v>
      </c>
      <c r="U1" s="21" t="s">
        <v>14</v>
      </c>
      <c r="V1" s="20" t="s">
        <v>15</v>
      </c>
      <c r="W1" s="20" t="s">
        <v>16</v>
      </c>
      <c r="X1" s="20" t="s">
        <v>17</v>
      </c>
      <c r="Y1" s="20" t="s">
        <v>18</v>
      </c>
      <c r="Z1" s="20" t="s">
        <v>19</v>
      </c>
      <c r="AA1" s="20" t="s">
        <v>20</v>
      </c>
      <c r="AB1" s="20" t="s">
        <v>21</v>
      </c>
      <c r="AC1" s="20" t="s">
        <v>22</v>
      </c>
      <c r="AD1" s="20" t="s">
        <v>23</v>
      </c>
      <c r="AE1" s="20" t="s">
        <v>24</v>
      </c>
      <c r="AF1" s="20" t="s">
        <v>25</v>
      </c>
    </row>
    <row r="2" spans="18:32" x14ac:dyDescent="0.2">
      <c r="R2" s="22">
        <v>1</v>
      </c>
      <c r="S2" s="22" t="s">
        <v>0</v>
      </c>
      <c r="T2" s="22">
        <v>242</v>
      </c>
      <c r="U2" s="22">
        <v>1</v>
      </c>
      <c r="V2" s="22">
        <f>IF(S2="Jan",1,0)</f>
        <v>1</v>
      </c>
      <c r="W2" s="22">
        <f>IF(S2="Feb",1,0)</f>
        <v>0</v>
      </c>
      <c r="X2" s="22">
        <f>IF(S2="Mar",1,0)</f>
        <v>0</v>
      </c>
      <c r="Y2" s="22">
        <f>IF(S2="Apr",1,0)</f>
        <v>0</v>
      </c>
      <c r="Z2" s="22">
        <f>IF(S2="may",1,0)</f>
        <v>0</v>
      </c>
      <c r="AA2" s="22">
        <f>IF(S2="Jun",1,0)</f>
        <v>0</v>
      </c>
      <c r="AB2" s="22">
        <f>IF(S2="Jul",1,0)</f>
        <v>0</v>
      </c>
      <c r="AC2" s="22">
        <f>IF(S2="Aug",1,0)</f>
        <v>0</v>
      </c>
      <c r="AD2" s="22">
        <f>IF(S2="Sep",1,0)</f>
        <v>0</v>
      </c>
      <c r="AE2" s="22">
        <f>IF(S2="Oct",1,0)</f>
        <v>0</v>
      </c>
      <c r="AF2" s="22">
        <f>IF(S2="Nov",1,0)</f>
        <v>0</v>
      </c>
    </row>
    <row r="3" spans="18:32" x14ac:dyDescent="0.2">
      <c r="R3" s="22"/>
      <c r="S3" s="22" t="s">
        <v>1</v>
      </c>
      <c r="T3" s="22">
        <v>235</v>
      </c>
      <c r="U3" s="22">
        <v>2</v>
      </c>
      <c r="V3" s="22">
        <f>IF(S3="Jan",1,0)</f>
        <v>0</v>
      </c>
      <c r="W3" s="22">
        <f>IF(S3="Feb",1,0)</f>
        <v>1</v>
      </c>
      <c r="X3" s="22">
        <f>IF(S3="Mar",1,0)</f>
        <v>0</v>
      </c>
      <c r="Y3" s="22">
        <f>IF(S3="Apr",1,0)</f>
        <v>0</v>
      </c>
      <c r="Z3" s="22">
        <f>IF(S3="may",1,0)</f>
        <v>0</v>
      </c>
      <c r="AA3" s="22">
        <f>IF(S3="Jun",1,0)</f>
        <v>0</v>
      </c>
      <c r="AB3" s="22">
        <f>IF(S3="Jul",1,0)</f>
        <v>0</v>
      </c>
      <c r="AC3" s="22">
        <f>IF(S3="Aug",1,0)</f>
        <v>0</v>
      </c>
      <c r="AD3" s="22">
        <f>IF(S3="Sep",1,0)</f>
        <v>0</v>
      </c>
      <c r="AE3" s="22">
        <f>IF(S3="Oct",1,0)</f>
        <v>0</v>
      </c>
      <c r="AF3" s="22">
        <f>IF(S3="Nov",1,0)</f>
        <v>0</v>
      </c>
    </row>
    <row r="4" spans="18:32" x14ac:dyDescent="0.2">
      <c r="R4" s="22"/>
      <c r="S4" s="22" t="s">
        <v>2</v>
      </c>
      <c r="T4" s="22">
        <v>232</v>
      </c>
      <c r="U4" s="22">
        <v>3</v>
      </c>
      <c r="V4" s="22">
        <f>IF(S4="Jan",1,0)</f>
        <v>0</v>
      </c>
      <c r="W4" s="22">
        <f>IF(S4="Feb",1,0)</f>
        <v>0</v>
      </c>
      <c r="X4" s="22">
        <f>IF(S4="Mar",1,0)</f>
        <v>1</v>
      </c>
      <c r="Y4" s="22">
        <f>IF(S4="Apr",1,0)</f>
        <v>0</v>
      </c>
      <c r="Z4" s="22">
        <f>IF(S4="may",1,0)</f>
        <v>0</v>
      </c>
      <c r="AA4" s="22">
        <f>IF(S4="Jun",1,0)</f>
        <v>0</v>
      </c>
      <c r="AB4" s="22">
        <f>IF(S4="Jul",1,0)</f>
        <v>0</v>
      </c>
      <c r="AC4" s="22">
        <f>IF(S4="Aug",1,0)</f>
        <v>0</v>
      </c>
      <c r="AD4" s="22">
        <f>IF(S4="Sep",1,0)</f>
        <v>0</v>
      </c>
      <c r="AE4" s="22">
        <f>IF(S4="Oct",1,0)</f>
        <v>0</v>
      </c>
      <c r="AF4" s="22">
        <f>IF(S4="Nov",1,0)</f>
        <v>0</v>
      </c>
    </row>
    <row r="5" spans="18:32" x14ac:dyDescent="0.2">
      <c r="R5" s="22"/>
      <c r="S5" s="22" t="s">
        <v>3</v>
      </c>
      <c r="T5" s="22">
        <v>178</v>
      </c>
      <c r="U5" s="22">
        <v>4</v>
      </c>
      <c r="V5" s="22">
        <f>IF(S5="Jan",1,0)</f>
        <v>0</v>
      </c>
      <c r="W5" s="22">
        <f>IF(S5="Feb",1,0)</f>
        <v>0</v>
      </c>
      <c r="X5" s="22">
        <f>IF(S5="Mar",1,0)</f>
        <v>0</v>
      </c>
      <c r="Y5" s="22">
        <f>IF(S5="Apr",1,0)</f>
        <v>1</v>
      </c>
      <c r="Z5" s="22">
        <f>IF(S5="may",1,0)</f>
        <v>0</v>
      </c>
      <c r="AA5" s="22">
        <f>IF(S5="Jun",1,0)</f>
        <v>0</v>
      </c>
      <c r="AB5" s="22">
        <f>IF(S5="Jul",1,0)</f>
        <v>0</v>
      </c>
      <c r="AC5" s="22">
        <f>IF(S5="Aug",1,0)</f>
        <v>0</v>
      </c>
      <c r="AD5" s="22">
        <f>IF(S5="Sep",1,0)</f>
        <v>0</v>
      </c>
      <c r="AE5" s="22">
        <f>IF(S5="Oct",1,0)</f>
        <v>0</v>
      </c>
      <c r="AF5" s="22">
        <f>IF(S5="Nov",1,0)</f>
        <v>0</v>
      </c>
    </row>
    <row r="6" spans="18:32" x14ac:dyDescent="0.2">
      <c r="R6" s="22"/>
      <c r="S6" s="22" t="s">
        <v>4</v>
      </c>
      <c r="T6" s="22">
        <v>184</v>
      </c>
      <c r="U6" s="22">
        <v>5</v>
      </c>
      <c r="V6" s="22">
        <f>IF(S6="Jan",1,0)</f>
        <v>0</v>
      </c>
      <c r="W6" s="22">
        <f>IF(S6="Feb",1,0)</f>
        <v>0</v>
      </c>
      <c r="X6" s="22">
        <f>IF(S6="Mar",1,0)</f>
        <v>0</v>
      </c>
      <c r="Y6" s="22">
        <f>IF(S6="Apr",1,0)</f>
        <v>0</v>
      </c>
      <c r="Z6" s="22">
        <f>IF(S6="may",1,0)</f>
        <v>1</v>
      </c>
      <c r="AA6" s="22">
        <f>IF(S6="Jun",1,0)</f>
        <v>0</v>
      </c>
      <c r="AB6" s="22">
        <f>IF(S6="Jul",1,0)</f>
        <v>0</v>
      </c>
      <c r="AC6" s="22">
        <f>IF(S6="Aug",1,0)</f>
        <v>0</v>
      </c>
      <c r="AD6" s="22">
        <f>IF(S6="Sep",1,0)</f>
        <v>0</v>
      </c>
      <c r="AE6" s="22">
        <f>IF(S6="Oct",1,0)</f>
        <v>0</v>
      </c>
      <c r="AF6" s="22">
        <f>IF(S6="Nov",1,0)</f>
        <v>0</v>
      </c>
    </row>
    <row r="7" spans="18:32" x14ac:dyDescent="0.2">
      <c r="R7" s="22"/>
      <c r="S7" s="22" t="s">
        <v>5</v>
      </c>
      <c r="T7" s="22">
        <v>140</v>
      </c>
      <c r="U7" s="22">
        <v>6</v>
      </c>
      <c r="V7" s="22">
        <f>IF(S7="Jan",1,0)</f>
        <v>0</v>
      </c>
      <c r="W7" s="22">
        <f>IF(S7="Feb",1,0)</f>
        <v>0</v>
      </c>
      <c r="X7" s="22">
        <f>IF(S7="Mar",1,0)</f>
        <v>0</v>
      </c>
      <c r="Y7" s="22">
        <f>IF(S7="Apr",1,0)</f>
        <v>0</v>
      </c>
      <c r="Z7" s="22">
        <f>IF(S7="may",1,0)</f>
        <v>0</v>
      </c>
      <c r="AA7" s="22">
        <f>IF(S7="Jun",1,0)</f>
        <v>1</v>
      </c>
      <c r="AB7" s="22">
        <f>IF(S7="Jul",1,0)</f>
        <v>0</v>
      </c>
      <c r="AC7" s="22">
        <f>IF(S7="Aug",1,0)</f>
        <v>0</v>
      </c>
      <c r="AD7" s="22">
        <f>IF(S7="Sep",1,0)</f>
        <v>0</v>
      </c>
      <c r="AE7" s="22">
        <f>IF(S7="Oct",1,0)</f>
        <v>0</v>
      </c>
      <c r="AF7" s="22">
        <f>IF(S7="Nov",1,0)</f>
        <v>0</v>
      </c>
    </row>
    <row r="8" spans="18:32" x14ac:dyDescent="0.2">
      <c r="R8" s="22"/>
      <c r="S8" s="22" t="s">
        <v>6</v>
      </c>
      <c r="T8" s="22">
        <v>145</v>
      </c>
      <c r="U8" s="22">
        <v>7</v>
      </c>
      <c r="V8" s="22">
        <f>IF(S8="Jan",1,0)</f>
        <v>0</v>
      </c>
      <c r="W8" s="22">
        <f>IF(S8="Feb",1,0)</f>
        <v>0</v>
      </c>
      <c r="X8" s="22">
        <f>IF(S8="Mar",1,0)</f>
        <v>0</v>
      </c>
      <c r="Y8" s="22">
        <f>IF(S8="Apr",1,0)</f>
        <v>0</v>
      </c>
      <c r="Z8" s="22">
        <f>IF(S8="may",1,0)</f>
        <v>0</v>
      </c>
      <c r="AA8" s="22">
        <f>IF(S8="Jun",1,0)</f>
        <v>0</v>
      </c>
      <c r="AB8" s="22">
        <f>IF(S8="Jul",1,0)</f>
        <v>1</v>
      </c>
      <c r="AC8" s="22">
        <f>IF(S8="Aug",1,0)</f>
        <v>0</v>
      </c>
      <c r="AD8" s="22">
        <f>IF(S8="Sep",1,0)</f>
        <v>0</v>
      </c>
      <c r="AE8" s="22">
        <f>IF(S8="Oct",1,0)</f>
        <v>0</v>
      </c>
      <c r="AF8" s="22">
        <f>IF(S8="Nov",1,0)</f>
        <v>0</v>
      </c>
    </row>
    <row r="9" spans="18:32" x14ac:dyDescent="0.2">
      <c r="R9" s="22"/>
      <c r="S9" s="22" t="s">
        <v>7</v>
      </c>
      <c r="T9" s="22">
        <v>152</v>
      </c>
      <c r="U9" s="22">
        <v>8</v>
      </c>
      <c r="V9" s="22">
        <f>IF(S9="Jan",1,0)</f>
        <v>0</v>
      </c>
      <c r="W9" s="22">
        <f>IF(S9="Feb",1,0)</f>
        <v>0</v>
      </c>
      <c r="X9" s="22">
        <f>IF(S9="Mar",1,0)</f>
        <v>0</v>
      </c>
      <c r="Y9" s="22">
        <f>IF(S9="Apr",1,0)</f>
        <v>0</v>
      </c>
      <c r="Z9" s="22">
        <f>IF(S9="may",1,0)</f>
        <v>0</v>
      </c>
      <c r="AA9" s="22">
        <f>IF(S9="Jun",1,0)</f>
        <v>0</v>
      </c>
      <c r="AB9" s="22">
        <f>IF(S9="Jul",1,0)</f>
        <v>0</v>
      </c>
      <c r="AC9" s="22">
        <f>IF(S9="Aug",1,0)</f>
        <v>1</v>
      </c>
      <c r="AD9" s="22">
        <f>IF(S9="Sep",1,0)</f>
        <v>0</v>
      </c>
      <c r="AE9" s="22">
        <f>IF(S9="Oct",1,0)</f>
        <v>0</v>
      </c>
      <c r="AF9" s="22">
        <f>IF(S9="Nov",1,0)</f>
        <v>0</v>
      </c>
    </row>
    <row r="10" spans="18:32" x14ac:dyDescent="0.2">
      <c r="R10" s="22"/>
      <c r="S10" s="22" t="s">
        <v>8</v>
      </c>
      <c r="T10" s="22">
        <v>110</v>
      </c>
      <c r="U10" s="22">
        <v>9</v>
      </c>
      <c r="V10" s="22">
        <f>IF(S10="Jan",1,0)</f>
        <v>0</v>
      </c>
      <c r="W10" s="22">
        <f>IF(S10="Feb",1,0)</f>
        <v>0</v>
      </c>
      <c r="X10" s="22">
        <f>IF(S10="Mar",1,0)</f>
        <v>0</v>
      </c>
      <c r="Y10" s="22">
        <f>IF(S10="Apr",1,0)</f>
        <v>0</v>
      </c>
      <c r="Z10" s="22">
        <f>IF(S10="may",1,0)</f>
        <v>0</v>
      </c>
      <c r="AA10" s="22">
        <f>IF(S10="Jun",1,0)</f>
        <v>0</v>
      </c>
      <c r="AB10" s="22">
        <f>IF(S10="Jul",1,0)</f>
        <v>0</v>
      </c>
      <c r="AC10" s="22">
        <f>IF(S10="Aug",1,0)</f>
        <v>0</v>
      </c>
      <c r="AD10" s="22">
        <f>IF(S10="Sep",1,0)</f>
        <v>1</v>
      </c>
      <c r="AE10" s="22">
        <f>IF(S10="Oct",1,0)</f>
        <v>0</v>
      </c>
      <c r="AF10" s="22">
        <f>IF(S10="Nov",1,0)</f>
        <v>0</v>
      </c>
    </row>
    <row r="11" spans="18:32" x14ac:dyDescent="0.2">
      <c r="R11" s="22"/>
      <c r="S11" s="22" t="s">
        <v>9</v>
      </c>
      <c r="T11" s="22">
        <v>130</v>
      </c>
      <c r="U11" s="22">
        <v>10</v>
      </c>
      <c r="V11" s="22">
        <f>IF(S11="Jan",1,0)</f>
        <v>0</v>
      </c>
      <c r="W11" s="22">
        <f>IF(S11="Feb",1,0)</f>
        <v>0</v>
      </c>
      <c r="X11" s="22">
        <f>IF(S11="Mar",1,0)</f>
        <v>0</v>
      </c>
      <c r="Y11" s="22">
        <f>IF(S11="Apr",1,0)</f>
        <v>0</v>
      </c>
      <c r="Z11" s="22">
        <f>IF(S11="may",1,0)</f>
        <v>0</v>
      </c>
      <c r="AA11" s="22">
        <f>IF(S11="Jun",1,0)</f>
        <v>0</v>
      </c>
      <c r="AB11" s="22">
        <f>IF(S11="Jul",1,0)</f>
        <v>0</v>
      </c>
      <c r="AC11" s="22">
        <f>IF(S11="Aug",1,0)</f>
        <v>0</v>
      </c>
      <c r="AD11" s="22">
        <f>IF(S11="Sep",1,0)</f>
        <v>0</v>
      </c>
      <c r="AE11" s="22">
        <f>IF(S11="Oct",1,0)</f>
        <v>1</v>
      </c>
      <c r="AF11" s="22">
        <f>IF(S11="Nov",1,0)</f>
        <v>0</v>
      </c>
    </row>
    <row r="12" spans="18:32" x14ac:dyDescent="0.2">
      <c r="R12" s="22"/>
      <c r="S12" s="22" t="s">
        <v>10</v>
      </c>
      <c r="T12" s="22">
        <v>152</v>
      </c>
      <c r="U12" s="22">
        <v>11</v>
      </c>
      <c r="V12" s="22">
        <f>IF(S12="Jan",1,0)</f>
        <v>0</v>
      </c>
      <c r="W12" s="22">
        <f>IF(S12="Feb",1,0)</f>
        <v>0</v>
      </c>
      <c r="X12" s="22">
        <f>IF(S12="Mar",1,0)</f>
        <v>0</v>
      </c>
      <c r="Y12" s="22">
        <f>IF(S12="Apr",1,0)</f>
        <v>0</v>
      </c>
      <c r="Z12" s="22">
        <f>IF(S12="may",1,0)</f>
        <v>0</v>
      </c>
      <c r="AA12" s="22">
        <f>IF(S12="Jun",1,0)</f>
        <v>0</v>
      </c>
      <c r="AB12" s="22">
        <f>IF(S12="Jul",1,0)</f>
        <v>0</v>
      </c>
      <c r="AC12" s="22">
        <f>IF(S12="Aug",1,0)</f>
        <v>0</v>
      </c>
      <c r="AD12" s="22">
        <f>IF(S12="Sep",1,0)</f>
        <v>0</v>
      </c>
      <c r="AE12" s="22">
        <f>IF(S12="Oct",1,0)</f>
        <v>0</v>
      </c>
      <c r="AF12" s="22">
        <f>IF(S12="Nov",1,0)</f>
        <v>1</v>
      </c>
    </row>
    <row r="13" spans="18:32" x14ac:dyDescent="0.2">
      <c r="R13" s="22"/>
      <c r="S13" s="22" t="s">
        <v>11</v>
      </c>
      <c r="T13" s="22">
        <v>206</v>
      </c>
      <c r="U13" s="22">
        <v>12</v>
      </c>
      <c r="V13" s="22">
        <f>IF(S13="Jan",1,0)</f>
        <v>0</v>
      </c>
      <c r="W13" s="22">
        <f>IF(S13="Feb",1,0)</f>
        <v>0</v>
      </c>
      <c r="X13" s="22">
        <f>IF(S13="Mar",1,0)</f>
        <v>0</v>
      </c>
      <c r="Y13" s="22">
        <f>IF(S13="Apr",1,0)</f>
        <v>0</v>
      </c>
      <c r="Z13" s="22">
        <f>IF(S13="may",1,0)</f>
        <v>0</v>
      </c>
      <c r="AA13" s="22">
        <f>IF(S13="Jun",1,0)</f>
        <v>0</v>
      </c>
      <c r="AB13" s="22">
        <f>IF(S13="Jul",1,0)</f>
        <v>0</v>
      </c>
      <c r="AC13" s="22">
        <f>IF(S13="Aug",1,0)</f>
        <v>0</v>
      </c>
      <c r="AD13" s="22">
        <f>IF(S13="Sep",1,0)</f>
        <v>0</v>
      </c>
      <c r="AE13" s="22">
        <f>IF(S13="Oct",1,0)</f>
        <v>0</v>
      </c>
      <c r="AF13" s="22">
        <f>IF(S13="Nov",1,0)</f>
        <v>0</v>
      </c>
    </row>
    <row r="14" spans="18:32" x14ac:dyDescent="0.2">
      <c r="R14" s="22">
        <v>2</v>
      </c>
      <c r="S14" s="22" t="s">
        <v>0</v>
      </c>
      <c r="T14" s="22">
        <v>263</v>
      </c>
      <c r="U14" s="22">
        <v>13</v>
      </c>
      <c r="V14" s="22">
        <f>IF(S14="Jan",1,0)</f>
        <v>1</v>
      </c>
      <c r="W14" s="22">
        <f>IF(S14="Feb",1,0)</f>
        <v>0</v>
      </c>
      <c r="X14" s="22">
        <f>IF(S14="Mar",1,0)</f>
        <v>0</v>
      </c>
      <c r="Y14" s="22">
        <f>IF(S14="Apr",1,0)</f>
        <v>0</v>
      </c>
      <c r="Z14" s="22">
        <f>IF(S14="may",1,0)</f>
        <v>0</v>
      </c>
      <c r="AA14" s="22">
        <f>IF(S14="Jun",1,0)</f>
        <v>0</v>
      </c>
      <c r="AB14" s="22">
        <f>IF(S14="Jul",1,0)</f>
        <v>0</v>
      </c>
      <c r="AC14" s="22">
        <f>IF(S14="Aug",1,0)</f>
        <v>0</v>
      </c>
      <c r="AD14" s="22">
        <f>IF(S14="Sep",1,0)</f>
        <v>0</v>
      </c>
      <c r="AE14" s="22">
        <f>IF(S14="Oct",1,0)</f>
        <v>0</v>
      </c>
      <c r="AF14" s="22">
        <f>IF(S14="Nov",1,0)</f>
        <v>0</v>
      </c>
    </row>
    <row r="15" spans="18:32" x14ac:dyDescent="0.2">
      <c r="R15" s="22"/>
      <c r="S15" s="22" t="s">
        <v>1</v>
      </c>
      <c r="T15" s="22">
        <v>238</v>
      </c>
      <c r="U15" s="22">
        <v>14</v>
      </c>
      <c r="V15" s="22">
        <f>IF(S15="Jan",1,0)</f>
        <v>0</v>
      </c>
      <c r="W15" s="22">
        <f>IF(S15="Feb",1,0)</f>
        <v>1</v>
      </c>
      <c r="X15" s="22">
        <f>IF(S15="Mar",1,0)</f>
        <v>0</v>
      </c>
      <c r="Y15" s="22">
        <f>IF(S15="Apr",1,0)</f>
        <v>0</v>
      </c>
      <c r="Z15" s="22">
        <f>IF(S15="may",1,0)</f>
        <v>0</v>
      </c>
      <c r="AA15" s="22">
        <f>IF(S15="Jun",1,0)</f>
        <v>0</v>
      </c>
      <c r="AB15" s="22">
        <f>IF(S15="Jul",1,0)</f>
        <v>0</v>
      </c>
      <c r="AC15" s="22">
        <f>IF(S15="Aug",1,0)</f>
        <v>0</v>
      </c>
      <c r="AD15" s="22">
        <f>IF(S15="Sep",1,0)</f>
        <v>0</v>
      </c>
      <c r="AE15" s="22">
        <f>IF(S15="Oct",1,0)</f>
        <v>0</v>
      </c>
      <c r="AF15" s="22">
        <f>IF(S15="Nov",1,0)</f>
        <v>0</v>
      </c>
    </row>
    <row r="16" spans="18:32" x14ac:dyDescent="0.2">
      <c r="R16" s="22"/>
      <c r="S16" s="22" t="s">
        <v>2</v>
      </c>
      <c r="T16" s="22">
        <v>247</v>
      </c>
      <c r="U16" s="22">
        <v>15</v>
      </c>
      <c r="V16" s="22">
        <f>IF(S16="Jan",1,0)</f>
        <v>0</v>
      </c>
      <c r="W16" s="22">
        <f>IF(S16="Feb",1,0)</f>
        <v>0</v>
      </c>
      <c r="X16" s="22">
        <f>IF(S16="Mar",1,0)</f>
        <v>1</v>
      </c>
      <c r="Y16" s="22">
        <f>IF(S16="Apr",1,0)</f>
        <v>0</v>
      </c>
      <c r="Z16" s="22">
        <f>IF(S16="may",1,0)</f>
        <v>0</v>
      </c>
      <c r="AA16" s="22">
        <f>IF(S16="Jun",1,0)</f>
        <v>0</v>
      </c>
      <c r="AB16" s="22">
        <f>IF(S16="Jul",1,0)</f>
        <v>0</v>
      </c>
      <c r="AC16" s="22">
        <f>IF(S16="Aug",1,0)</f>
        <v>0</v>
      </c>
      <c r="AD16" s="22">
        <f>IF(S16="Sep",1,0)</f>
        <v>0</v>
      </c>
      <c r="AE16" s="22">
        <f>IF(S16="Oct",1,0)</f>
        <v>0</v>
      </c>
      <c r="AF16" s="22">
        <f>IF(S16="Nov",1,0)</f>
        <v>0</v>
      </c>
    </row>
    <row r="17" spans="1:32" x14ac:dyDescent="0.2">
      <c r="R17" s="22"/>
      <c r="S17" s="22" t="s">
        <v>3</v>
      </c>
      <c r="T17" s="22">
        <v>193</v>
      </c>
      <c r="U17" s="22">
        <v>16</v>
      </c>
      <c r="V17" s="22">
        <f>IF(S17="Jan",1,0)</f>
        <v>0</v>
      </c>
      <c r="W17" s="22">
        <f>IF(S17="Feb",1,0)</f>
        <v>0</v>
      </c>
      <c r="X17" s="22">
        <f>IF(S17="Mar",1,0)</f>
        <v>0</v>
      </c>
      <c r="Y17" s="22">
        <f>IF(S17="Apr",1,0)</f>
        <v>1</v>
      </c>
      <c r="Z17" s="22">
        <f>IF(S17="may",1,0)</f>
        <v>0</v>
      </c>
      <c r="AA17" s="22">
        <f>IF(S17="Jun",1,0)</f>
        <v>0</v>
      </c>
      <c r="AB17" s="22">
        <f>IF(S17="Jul",1,0)</f>
        <v>0</v>
      </c>
      <c r="AC17" s="22">
        <f>IF(S17="Aug",1,0)</f>
        <v>0</v>
      </c>
      <c r="AD17" s="22">
        <f>IF(S17="Sep",1,0)</f>
        <v>0</v>
      </c>
      <c r="AE17" s="22">
        <f>IF(S17="Oct",1,0)</f>
        <v>0</v>
      </c>
      <c r="AF17" s="22">
        <f>IF(S17="Nov",1,0)</f>
        <v>0</v>
      </c>
    </row>
    <row r="18" spans="1:32" x14ac:dyDescent="0.2">
      <c r="R18" s="22"/>
      <c r="S18" s="22" t="s">
        <v>4</v>
      </c>
      <c r="T18" s="22">
        <v>193</v>
      </c>
      <c r="U18" s="22">
        <v>17</v>
      </c>
      <c r="V18" s="22">
        <f>IF(S18="Jan",1,0)</f>
        <v>0</v>
      </c>
      <c r="W18" s="22">
        <f>IF(S18="Feb",1,0)</f>
        <v>0</v>
      </c>
      <c r="X18" s="22">
        <f>IF(S18="Mar",1,0)</f>
        <v>0</v>
      </c>
      <c r="Y18" s="22">
        <f>IF(S18="Apr",1,0)</f>
        <v>0</v>
      </c>
      <c r="Z18" s="22">
        <f>IF(S18="may",1,0)</f>
        <v>1</v>
      </c>
      <c r="AA18" s="22">
        <f>IF(S18="Jun",1,0)</f>
        <v>0</v>
      </c>
      <c r="AB18" s="22">
        <f>IF(S18="Jul",1,0)</f>
        <v>0</v>
      </c>
      <c r="AC18" s="22">
        <f>IF(S18="Aug",1,0)</f>
        <v>0</v>
      </c>
      <c r="AD18" s="22">
        <f>IF(S18="Sep",1,0)</f>
        <v>0</v>
      </c>
      <c r="AE18" s="22">
        <f>IF(S18="Oct",1,0)</f>
        <v>0</v>
      </c>
      <c r="AF18" s="22">
        <f>IF(S18="Nov",1,0)</f>
        <v>0</v>
      </c>
    </row>
    <row r="19" spans="1:32" x14ac:dyDescent="0.2">
      <c r="R19" s="22"/>
      <c r="S19" s="22" t="s">
        <v>5</v>
      </c>
      <c r="T19" s="22">
        <v>149</v>
      </c>
      <c r="U19" s="22">
        <v>18</v>
      </c>
      <c r="V19" s="22">
        <f>IF(S19="Jan",1,0)</f>
        <v>0</v>
      </c>
      <c r="W19" s="22">
        <f>IF(S19="Feb",1,0)</f>
        <v>0</v>
      </c>
      <c r="X19" s="22">
        <f>IF(S19="Mar",1,0)</f>
        <v>0</v>
      </c>
      <c r="Y19" s="22">
        <f>IF(S19="Apr",1,0)</f>
        <v>0</v>
      </c>
      <c r="Z19" s="22">
        <f>IF(S19="may",1,0)</f>
        <v>0</v>
      </c>
      <c r="AA19" s="22">
        <f>IF(S19="Jun",1,0)</f>
        <v>1</v>
      </c>
      <c r="AB19" s="22">
        <f>IF(S19="Jul",1,0)</f>
        <v>0</v>
      </c>
      <c r="AC19" s="22">
        <f>IF(S19="Aug",1,0)</f>
        <v>0</v>
      </c>
      <c r="AD19" s="22">
        <f>IF(S19="Sep",1,0)</f>
        <v>0</v>
      </c>
      <c r="AE19" s="22">
        <f>IF(S19="Oct",1,0)</f>
        <v>0</v>
      </c>
      <c r="AF19" s="22">
        <f>IF(S19="Nov",1,0)</f>
        <v>0</v>
      </c>
    </row>
    <row r="20" spans="1:32" x14ac:dyDescent="0.2">
      <c r="R20" s="22"/>
      <c r="S20" s="22" t="s">
        <v>6</v>
      </c>
      <c r="T20" s="22">
        <v>157</v>
      </c>
      <c r="U20" s="22">
        <v>19</v>
      </c>
      <c r="V20" s="22">
        <f>IF(S20="Jan",1,0)</f>
        <v>0</v>
      </c>
      <c r="W20" s="22">
        <f>IF(S20="Feb",1,0)</f>
        <v>0</v>
      </c>
      <c r="X20" s="22">
        <f>IF(S20="Mar",1,0)</f>
        <v>0</v>
      </c>
      <c r="Y20" s="22">
        <f>IF(S20="Apr",1,0)</f>
        <v>0</v>
      </c>
      <c r="Z20" s="22">
        <f>IF(S20="may",1,0)</f>
        <v>0</v>
      </c>
      <c r="AA20" s="22">
        <f>IF(S20="Jun",1,0)</f>
        <v>0</v>
      </c>
      <c r="AB20" s="22">
        <f>IF(S20="Jul",1,0)</f>
        <v>1</v>
      </c>
      <c r="AC20" s="22">
        <f>IF(S20="Aug",1,0)</f>
        <v>0</v>
      </c>
      <c r="AD20" s="22">
        <f>IF(S20="Sep",1,0)</f>
        <v>0</v>
      </c>
      <c r="AE20" s="22">
        <f>IF(S20="Oct",1,0)</f>
        <v>0</v>
      </c>
      <c r="AF20" s="22">
        <f>IF(S20="Nov",1,0)</f>
        <v>0</v>
      </c>
    </row>
    <row r="21" spans="1:32" x14ac:dyDescent="0.2">
      <c r="R21" s="22"/>
      <c r="S21" s="22" t="s">
        <v>7</v>
      </c>
      <c r="T21" s="22">
        <v>161</v>
      </c>
      <c r="U21" s="22">
        <v>20</v>
      </c>
      <c r="V21" s="22">
        <f>IF(S21="Jan",1,0)</f>
        <v>0</v>
      </c>
      <c r="W21" s="22">
        <f>IF(S21="Feb",1,0)</f>
        <v>0</v>
      </c>
      <c r="X21" s="22">
        <f>IF(S21="Mar",1,0)</f>
        <v>0</v>
      </c>
      <c r="Y21" s="22">
        <f>IF(S21="Apr",1,0)</f>
        <v>0</v>
      </c>
      <c r="Z21" s="22">
        <f>IF(S21="may",1,0)</f>
        <v>0</v>
      </c>
      <c r="AA21" s="22">
        <f>IF(S21="Jun",1,0)</f>
        <v>0</v>
      </c>
      <c r="AB21" s="22">
        <f>IF(S21="Jul",1,0)</f>
        <v>0</v>
      </c>
      <c r="AC21" s="22">
        <f>IF(S21="Aug",1,0)</f>
        <v>1</v>
      </c>
      <c r="AD21" s="22">
        <f>IF(S21="Sep",1,0)</f>
        <v>0</v>
      </c>
      <c r="AE21" s="22">
        <f>IF(S21="Oct",1,0)</f>
        <v>0</v>
      </c>
      <c r="AF21" s="22">
        <f>IF(S21="Nov",1,0)</f>
        <v>0</v>
      </c>
    </row>
    <row r="22" spans="1:32" x14ac:dyDescent="0.2">
      <c r="R22" s="22"/>
      <c r="S22" s="22" t="s">
        <v>8</v>
      </c>
      <c r="T22" s="22">
        <v>122</v>
      </c>
      <c r="U22" s="22">
        <v>21</v>
      </c>
      <c r="V22" s="22">
        <f>IF(S22="Jan",1,0)</f>
        <v>0</v>
      </c>
      <c r="W22" s="22">
        <f>IF(S22="Feb",1,0)</f>
        <v>0</v>
      </c>
      <c r="X22" s="22">
        <f>IF(S22="Mar",1,0)</f>
        <v>0</v>
      </c>
      <c r="Y22" s="22">
        <f>IF(S22="Apr",1,0)</f>
        <v>0</v>
      </c>
      <c r="Z22" s="22">
        <f>IF(S22="may",1,0)</f>
        <v>0</v>
      </c>
      <c r="AA22" s="22">
        <f>IF(S22="Jun",1,0)</f>
        <v>0</v>
      </c>
      <c r="AB22" s="22">
        <f>IF(S22="Jul",1,0)</f>
        <v>0</v>
      </c>
      <c r="AC22" s="22">
        <f>IF(S22="Aug",1,0)</f>
        <v>0</v>
      </c>
      <c r="AD22" s="22">
        <f>IF(S22="Sep",1,0)</f>
        <v>1</v>
      </c>
      <c r="AE22" s="22">
        <f>IF(S22="Oct",1,0)</f>
        <v>0</v>
      </c>
      <c r="AF22" s="22">
        <f>IF(S22="Nov",1,0)</f>
        <v>0</v>
      </c>
    </row>
    <row r="23" spans="1:32" x14ac:dyDescent="0.2">
      <c r="R23" s="22"/>
      <c r="S23" s="22" t="s">
        <v>9</v>
      </c>
      <c r="T23" s="22">
        <v>130</v>
      </c>
      <c r="U23" s="22">
        <v>22</v>
      </c>
      <c r="V23" s="22">
        <f>IF(S23="Jan",1,0)</f>
        <v>0</v>
      </c>
      <c r="W23" s="22">
        <f>IF(S23="Feb",1,0)</f>
        <v>0</v>
      </c>
      <c r="X23" s="22">
        <f>IF(S23="Mar",1,0)</f>
        <v>0</v>
      </c>
      <c r="Y23" s="22">
        <f>IF(S23="Apr",1,0)</f>
        <v>0</v>
      </c>
      <c r="Z23" s="22">
        <f>IF(S23="may",1,0)</f>
        <v>0</v>
      </c>
      <c r="AA23" s="22">
        <f>IF(S23="Jun",1,0)</f>
        <v>0</v>
      </c>
      <c r="AB23" s="22">
        <f>IF(S23="Jul",1,0)</f>
        <v>0</v>
      </c>
      <c r="AC23" s="22">
        <f>IF(S23="Aug",1,0)</f>
        <v>0</v>
      </c>
      <c r="AD23" s="22">
        <f>IF(S23="Sep",1,0)</f>
        <v>0</v>
      </c>
      <c r="AE23" s="22">
        <f>IF(S23="Oct",1,0)</f>
        <v>1</v>
      </c>
      <c r="AF23" s="22">
        <f>IF(S23="Nov",1,0)</f>
        <v>0</v>
      </c>
    </row>
    <row r="24" spans="1:32" x14ac:dyDescent="0.2">
      <c r="R24" s="22"/>
      <c r="S24" s="22" t="s">
        <v>10</v>
      </c>
      <c r="T24" s="22">
        <v>167</v>
      </c>
      <c r="U24" s="22">
        <v>23</v>
      </c>
      <c r="V24" s="22">
        <f>IF(S24="Jan",1,0)</f>
        <v>0</v>
      </c>
      <c r="W24" s="22">
        <f>IF(S24="Feb",1,0)</f>
        <v>0</v>
      </c>
      <c r="X24" s="22">
        <f>IF(S24="Mar",1,0)</f>
        <v>0</v>
      </c>
      <c r="Y24" s="22">
        <f>IF(S24="Apr",1,0)</f>
        <v>0</v>
      </c>
      <c r="Z24" s="22">
        <f>IF(S24="may",1,0)</f>
        <v>0</v>
      </c>
      <c r="AA24" s="22">
        <f>IF(S24="Jun",1,0)</f>
        <v>0</v>
      </c>
      <c r="AB24" s="22">
        <f>IF(S24="Jul",1,0)</f>
        <v>0</v>
      </c>
      <c r="AC24" s="22">
        <f>IF(S24="Aug",1,0)</f>
        <v>0</v>
      </c>
      <c r="AD24" s="22">
        <f>IF(S24="Sep",1,0)</f>
        <v>0</v>
      </c>
      <c r="AE24" s="22">
        <f>IF(S24="Oct",1,0)</f>
        <v>0</v>
      </c>
      <c r="AF24" s="22">
        <f>IF(S24="Nov",1,0)</f>
        <v>1</v>
      </c>
    </row>
    <row r="25" spans="1:32" x14ac:dyDescent="0.2">
      <c r="R25" s="22"/>
      <c r="S25" s="22" t="s">
        <v>11</v>
      </c>
      <c r="T25" s="22">
        <v>230</v>
      </c>
      <c r="U25" s="22">
        <v>24</v>
      </c>
      <c r="V25" s="22">
        <f>IF(S25="Jan",1,0)</f>
        <v>0</v>
      </c>
      <c r="W25" s="22">
        <f>IF(S25="Feb",1,0)</f>
        <v>0</v>
      </c>
      <c r="X25" s="22">
        <f>IF(S25="Mar",1,0)</f>
        <v>0</v>
      </c>
      <c r="Y25" s="22">
        <f>IF(S25="Apr",1,0)</f>
        <v>0</v>
      </c>
      <c r="Z25" s="22">
        <f>IF(S25="may",1,0)</f>
        <v>0</v>
      </c>
      <c r="AA25" s="22">
        <f>IF(S25="Jun",1,0)</f>
        <v>0</v>
      </c>
      <c r="AB25" s="22">
        <f>IF(S25="Jul",1,0)</f>
        <v>0</v>
      </c>
      <c r="AC25" s="22">
        <f>IF(S25="Aug",1,0)</f>
        <v>0</v>
      </c>
      <c r="AD25" s="22">
        <f>IF(S25="Sep",1,0)</f>
        <v>0</v>
      </c>
      <c r="AE25" s="22">
        <f>IF(S25="Oct",1,0)</f>
        <v>0</v>
      </c>
      <c r="AF25" s="22">
        <f>IF(S25="Nov",1,0)</f>
        <v>0</v>
      </c>
    </row>
    <row r="26" spans="1:32" x14ac:dyDescent="0.2">
      <c r="R26" s="22">
        <v>3</v>
      </c>
      <c r="S26" s="22" t="s">
        <v>0</v>
      </c>
      <c r="T26" s="22">
        <v>282</v>
      </c>
      <c r="U26" s="22">
        <v>25</v>
      </c>
      <c r="V26" s="22">
        <f>IF(S26="Jan",1,0)</f>
        <v>1</v>
      </c>
      <c r="W26" s="22">
        <f>IF(S26="Feb",1,0)</f>
        <v>0</v>
      </c>
      <c r="X26" s="22">
        <f>IF(S26="Mar",1,0)</f>
        <v>0</v>
      </c>
      <c r="Y26" s="22">
        <f>IF(S26="Apr",1,0)</f>
        <v>0</v>
      </c>
      <c r="Z26" s="22">
        <f>IF(S26="may",1,0)</f>
        <v>0</v>
      </c>
      <c r="AA26" s="22">
        <f>IF(S26="Jun",1,0)</f>
        <v>0</v>
      </c>
      <c r="AB26" s="22">
        <f>IF(S26="Jul",1,0)</f>
        <v>0</v>
      </c>
      <c r="AC26" s="22">
        <f>IF(S26="Aug",1,0)</f>
        <v>0</v>
      </c>
      <c r="AD26" s="22">
        <f>IF(S26="Sep",1,0)</f>
        <v>0</v>
      </c>
      <c r="AE26" s="22">
        <f>IF(S26="Oct",1,0)</f>
        <v>0</v>
      </c>
      <c r="AF26" s="22">
        <f>IF(S26="Nov",1,0)</f>
        <v>0</v>
      </c>
    </row>
    <row r="27" spans="1:32" ht="18" x14ac:dyDescent="0.2">
      <c r="A27" s="15" t="s">
        <v>59</v>
      </c>
      <c r="B27"/>
      <c r="C27"/>
      <c r="D27"/>
      <c r="E27"/>
      <c r="F27"/>
      <c r="G27"/>
      <c r="H27"/>
      <c r="I27"/>
      <c r="R27" s="22"/>
      <c r="S27" s="22" t="s">
        <v>1</v>
      </c>
      <c r="T27" s="22">
        <v>255</v>
      </c>
      <c r="U27" s="22">
        <v>26</v>
      </c>
      <c r="V27" s="22">
        <f>IF(S27="Jan",1,0)</f>
        <v>0</v>
      </c>
      <c r="W27" s="22">
        <f>IF(S27="Feb",1,0)</f>
        <v>1</v>
      </c>
      <c r="X27" s="22">
        <f>IF(S27="Mar",1,0)</f>
        <v>0</v>
      </c>
      <c r="Y27" s="22">
        <f>IF(S27="Apr",1,0)</f>
        <v>0</v>
      </c>
      <c r="Z27" s="22">
        <f>IF(S27="may",1,0)</f>
        <v>0</v>
      </c>
      <c r="AA27" s="22">
        <f>IF(S27="Jun",1,0)</f>
        <v>0</v>
      </c>
      <c r="AB27" s="22">
        <f>IF(S27="Jul",1,0)</f>
        <v>0</v>
      </c>
      <c r="AC27" s="22">
        <f>IF(S27="Aug",1,0)</f>
        <v>0</v>
      </c>
      <c r="AD27" s="22">
        <f>IF(S27="Sep",1,0)</f>
        <v>0</v>
      </c>
      <c r="AE27" s="22">
        <f>IF(S27="Oct",1,0)</f>
        <v>0</v>
      </c>
      <c r="AF27" s="22">
        <f>IF(S27="Nov",1,0)</f>
        <v>0</v>
      </c>
    </row>
    <row r="28" spans="1:32" ht="16" customHeight="1" x14ac:dyDescent="0.2">
      <c r="A28" s="18" t="s">
        <v>62</v>
      </c>
      <c r="B28" s="18"/>
      <c r="C28" s="18"/>
      <c r="D28" s="18"/>
      <c r="E28" s="18"/>
      <c r="F28" s="18"/>
      <c r="G28" s="18"/>
      <c r="H28" s="18"/>
      <c r="I28" s="18"/>
      <c r="J28" s="18"/>
      <c r="K28" s="18"/>
      <c r="L28" s="18"/>
      <c r="M28" s="18"/>
      <c r="N28" s="18"/>
      <c r="O28" s="18"/>
      <c r="P28" s="18"/>
      <c r="R28" s="22"/>
      <c r="S28" s="22" t="s">
        <v>2</v>
      </c>
      <c r="T28" s="22">
        <v>265</v>
      </c>
      <c r="U28" s="22">
        <v>27</v>
      </c>
      <c r="V28" s="22">
        <f>IF(S28="Jan",1,0)</f>
        <v>0</v>
      </c>
      <c r="W28" s="22">
        <f>IF(S28="Feb",1,0)</f>
        <v>0</v>
      </c>
      <c r="X28" s="22">
        <f>IF(S28="Mar",1,0)</f>
        <v>1</v>
      </c>
      <c r="Y28" s="22">
        <f>IF(S28="Apr",1,0)</f>
        <v>0</v>
      </c>
      <c r="Z28" s="22">
        <f>IF(S28="may",1,0)</f>
        <v>0</v>
      </c>
      <c r="AA28" s="22">
        <f>IF(S28="Jun",1,0)</f>
        <v>0</v>
      </c>
      <c r="AB28" s="22">
        <f>IF(S28="Jul",1,0)</f>
        <v>0</v>
      </c>
      <c r="AC28" s="22">
        <f>IF(S28="Aug",1,0)</f>
        <v>0</v>
      </c>
      <c r="AD28" s="22">
        <f>IF(S28="Sep",1,0)</f>
        <v>0</v>
      </c>
      <c r="AE28" s="22">
        <f>IF(S28="Oct",1,0)</f>
        <v>0</v>
      </c>
      <c r="AF28" s="22">
        <f>IF(S28="Nov",1,0)</f>
        <v>0</v>
      </c>
    </row>
    <row r="29" spans="1:32" x14ac:dyDescent="0.2">
      <c r="A29" s="18"/>
      <c r="B29" s="18"/>
      <c r="C29" s="18"/>
      <c r="D29" s="18"/>
      <c r="E29" s="18"/>
      <c r="F29" s="18"/>
      <c r="G29" s="18"/>
      <c r="H29" s="18"/>
      <c r="I29" s="18"/>
      <c r="J29" s="18"/>
      <c r="K29" s="18"/>
      <c r="L29" s="18"/>
      <c r="M29" s="18"/>
      <c r="N29" s="18"/>
      <c r="O29" s="18"/>
      <c r="P29" s="18"/>
      <c r="R29" s="22"/>
      <c r="S29" s="22" t="s">
        <v>3</v>
      </c>
      <c r="T29" s="22">
        <v>205</v>
      </c>
      <c r="U29" s="22">
        <v>28</v>
      </c>
      <c r="V29" s="22">
        <f>IF(S29="Jan",1,0)</f>
        <v>0</v>
      </c>
      <c r="W29" s="22">
        <f>IF(S29="Feb",1,0)</f>
        <v>0</v>
      </c>
      <c r="X29" s="22">
        <f>IF(S29="Mar",1,0)</f>
        <v>0</v>
      </c>
      <c r="Y29" s="22">
        <f>IF(S29="Apr",1,0)</f>
        <v>1</v>
      </c>
      <c r="Z29" s="22">
        <f>IF(S29="may",1,0)</f>
        <v>0</v>
      </c>
      <c r="AA29" s="22">
        <f>IF(S29="Jun",1,0)</f>
        <v>0</v>
      </c>
      <c r="AB29" s="22">
        <f>IF(S29="Jul",1,0)</f>
        <v>0</v>
      </c>
      <c r="AC29" s="22">
        <f>IF(S29="Aug",1,0)</f>
        <v>0</v>
      </c>
      <c r="AD29" s="22">
        <f>IF(S29="Sep",1,0)</f>
        <v>0</v>
      </c>
      <c r="AE29" s="22">
        <f>IF(S29="Oct",1,0)</f>
        <v>0</v>
      </c>
      <c r="AF29" s="22">
        <f>IF(S29="Nov",1,0)</f>
        <v>0</v>
      </c>
    </row>
    <row r="30" spans="1:32" x14ac:dyDescent="0.2">
      <c r="A30" s="18"/>
      <c r="B30" s="18"/>
      <c r="C30" s="18"/>
      <c r="D30" s="18"/>
      <c r="E30" s="18"/>
      <c r="F30" s="18"/>
      <c r="G30" s="18"/>
      <c r="H30" s="18"/>
      <c r="I30" s="18"/>
      <c r="J30" s="18"/>
      <c r="K30" s="18"/>
      <c r="L30" s="18"/>
      <c r="M30" s="18"/>
      <c r="N30" s="18"/>
      <c r="O30" s="18"/>
      <c r="P30" s="18"/>
      <c r="R30" s="22"/>
      <c r="S30" s="22" t="s">
        <v>4</v>
      </c>
      <c r="T30" s="22">
        <v>210</v>
      </c>
      <c r="U30" s="22">
        <v>29</v>
      </c>
      <c r="V30" s="22">
        <f>IF(S30="Jan",1,0)</f>
        <v>0</v>
      </c>
      <c r="W30" s="22">
        <f>IF(S30="Feb",1,0)</f>
        <v>0</v>
      </c>
      <c r="X30" s="22">
        <f>IF(S30="Mar",1,0)</f>
        <v>0</v>
      </c>
      <c r="Y30" s="22">
        <f>IF(S30="Apr",1,0)</f>
        <v>0</v>
      </c>
      <c r="Z30" s="22">
        <f>IF(S30="may",1,0)</f>
        <v>1</v>
      </c>
      <c r="AA30" s="22">
        <f>IF(S30="Jun",1,0)</f>
        <v>0</v>
      </c>
      <c r="AB30" s="22">
        <f>IF(S30="Jul",1,0)</f>
        <v>0</v>
      </c>
      <c r="AC30" s="22">
        <f>IF(S30="Aug",1,0)</f>
        <v>0</v>
      </c>
      <c r="AD30" s="22">
        <f>IF(S30="Sep",1,0)</f>
        <v>0</v>
      </c>
      <c r="AE30" s="22">
        <f>IF(S30="Oct",1,0)</f>
        <v>0</v>
      </c>
      <c r="AF30" s="22">
        <f>IF(S30="Nov",1,0)</f>
        <v>0</v>
      </c>
    </row>
    <row r="31" spans="1:32" x14ac:dyDescent="0.2">
      <c r="A31" s="18"/>
      <c r="B31" s="18"/>
      <c r="C31" s="18"/>
      <c r="D31" s="18"/>
      <c r="E31" s="18"/>
      <c r="F31" s="18"/>
      <c r="G31" s="18"/>
      <c r="H31" s="18"/>
      <c r="I31" s="18"/>
      <c r="J31" s="18"/>
      <c r="K31" s="18"/>
      <c r="L31" s="18"/>
      <c r="M31" s="18"/>
      <c r="N31" s="18"/>
      <c r="O31" s="18"/>
      <c r="P31" s="18"/>
      <c r="R31" s="22"/>
      <c r="S31" s="22" t="s">
        <v>5</v>
      </c>
      <c r="T31" s="22">
        <v>160</v>
      </c>
      <c r="U31" s="22">
        <v>30</v>
      </c>
      <c r="V31" s="22">
        <f>IF(S31="Jan",1,0)</f>
        <v>0</v>
      </c>
      <c r="W31" s="22">
        <f>IF(S31="Feb",1,0)</f>
        <v>0</v>
      </c>
      <c r="X31" s="22">
        <f>IF(S31="Mar",1,0)</f>
        <v>0</v>
      </c>
      <c r="Y31" s="22">
        <f>IF(S31="Apr",1,0)</f>
        <v>0</v>
      </c>
      <c r="Z31" s="22">
        <f>IF(S31="may",1,0)</f>
        <v>0</v>
      </c>
      <c r="AA31" s="22">
        <f>IF(S31="Jun",1,0)</f>
        <v>1</v>
      </c>
      <c r="AB31" s="22">
        <f>IF(S31="Jul",1,0)</f>
        <v>0</v>
      </c>
      <c r="AC31" s="22">
        <f>IF(S31="Aug",1,0)</f>
        <v>0</v>
      </c>
      <c r="AD31" s="22">
        <f>IF(S31="Sep",1,0)</f>
        <v>0</v>
      </c>
      <c r="AE31" s="22">
        <f>IF(S31="Oct",1,0)</f>
        <v>0</v>
      </c>
      <c r="AF31" s="22">
        <f>IF(S31="Nov",1,0)</f>
        <v>0</v>
      </c>
    </row>
    <row r="32" spans="1:32" x14ac:dyDescent="0.2">
      <c r="A32" s="18"/>
      <c r="B32" s="18"/>
      <c r="C32" s="18"/>
      <c r="D32" s="18"/>
      <c r="E32" s="18"/>
      <c r="F32" s="18"/>
      <c r="G32" s="18"/>
      <c r="H32" s="18"/>
      <c r="I32" s="18"/>
      <c r="J32" s="18"/>
      <c r="K32" s="18"/>
      <c r="L32" s="18"/>
      <c r="M32" s="18"/>
      <c r="N32" s="18"/>
      <c r="O32" s="18"/>
      <c r="P32" s="18"/>
      <c r="R32" s="22"/>
      <c r="S32" s="22" t="s">
        <v>6</v>
      </c>
      <c r="T32" s="22">
        <v>166</v>
      </c>
      <c r="U32" s="22">
        <v>31</v>
      </c>
      <c r="V32" s="22">
        <f>IF(S32="Jan",1,0)</f>
        <v>0</v>
      </c>
      <c r="W32" s="22">
        <f>IF(S32="Feb",1,0)</f>
        <v>0</v>
      </c>
      <c r="X32" s="22">
        <f>IF(S32="Mar",1,0)</f>
        <v>0</v>
      </c>
      <c r="Y32" s="22">
        <f>IF(S32="Apr",1,0)</f>
        <v>0</v>
      </c>
      <c r="Z32" s="22">
        <f>IF(S32="may",1,0)</f>
        <v>0</v>
      </c>
      <c r="AA32" s="22">
        <f>IF(S32="Jun",1,0)</f>
        <v>0</v>
      </c>
      <c r="AB32" s="22">
        <f>IF(S32="Jul",1,0)</f>
        <v>1</v>
      </c>
      <c r="AC32" s="22">
        <f>IF(S32="Aug",1,0)</f>
        <v>0</v>
      </c>
      <c r="AD32" s="22">
        <f>IF(S32="Sep",1,0)</f>
        <v>0</v>
      </c>
      <c r="AE32" s="22">
        <f>IF(S32="Oct",1,0)</f>
        <v>0</v>
      </c>
      <c r="AF32" s="22">
        <f>IF(S32="Nov",1,0)</f>
        <v>0</v>
      </c>
    </row>
    <row r="33" spans="1:32" x14ac:dyDescent="0.2">
      <c r="A33" s="18"/>
      <c r="B33" s="18"/>
      <c r="C33" s="18"/>
      <c r="D33" s="18"/>
      <c r="E33" s="18"/>
      <c r="F33" s="18"/>
      <c r="G33" s="18"/>
      <c r="H33" s="18"/>
      <c r="I33" s="18"/>
      <c r="J33" s="18"/>
      <c r="K33" s="18"/>
      <c r="L33" s="18"/>
      <c r="M33" s="18"/>
      <c r="N33" s="18"/>
      <c r="O33" s="18"/>
      <c r="P33" s="18"/>
      <c r="R33" s="22"/>
      <c r="S33" s="22" t="s">
        <v>7</v>
      </c>
      <c r="T33" s="22">
        <v>174</v>
      </c>
      <c r="U33" s="22">
        <v>32</v>
      </c>
      <c r="V33" s="22">
        <f>IF(S33="Jan",1,0)</f>
        <v>0</v>
      </c>
      <c r="W33" s="22">
        <f>IF(S33="Feb",1,0)</f>
        <v>0</v>
      </c>
      <c r="X33" s="22">
        <f>IF(S33="Mar",1,0)</f>
        <v>0</v>
      </c>
      <c r="Y33" s="22">
        <f>IF(S33="Apr",1,0)</f>
        <v>0</v>
      </c>
      <c r="Z33" s="22">
        <f>IF(S33="may",1,0)</f>
        <v>0</v>
      </c>
      <c r="AA33" s="22">
        <f>IF(S33="Jun",1,0)</f>
        <v>0</v>
      </c>
      <c r="AB33" s="22">
        <f>IF(S33="Jul",1,0)</f>
        <v>0</v>
      </c>
      <c r="AC33" s="22">
        <f>IF(S33="Aug",1,0)</f>
        <v>1</v>
      </c>
      <c r="AD33" s="22">
        <f>IF(S33="Sep",1,0)</f>
        <v>0</v>
      </c>
      <c r="AE33" s="22">
        <f>IF(S33="Oct",1,0)</f>
        <v>0</v>
      </c>
      <c r="AF33" s="22">
        <f>IF(S33="Nov",1,0)</f>
        <v>0</v>
      </c>
    </row>
    <row r="34" spans="1:32" x14ac:dyDescent="0.2">
      <c r="A34" s="18"/>
      <c r="B34" s="18"/>
      <c r="C34" s="18"/>
      <c r="D34" s="18"/>
      <c r="E34" s="18"/>
      <c r="F34" s="18"/>
      <c r="G34" s="18"/>
      <c r="H34" s="18"/>
      <c r="I34" s="18"/>
      <c r="J34" s="18"/>
      <c r="K34" s="18"/>
      <c r="L34" s="18"/>
      <c r="M34" s="18"/>
      <c r="N34" s="18"/>
      <c r="O34" s="18"/>
      <c r="P34" s="18"/>
      <c r="R34" s="22"/>
      <c r="S34" s="22" t="s">
        <v>8</v>
      </c>
      <c r="T34" s="22">
        <v>126</v>
      </c>
      <c r="U34" s="22">
        <v>33</v>
      </c>
      <c r="V34" s="22">
        <f>IF(S34="Jan",1,0)</f>
        <v>0</v>
      </c>
      <c r="W34" s="22">
        <f>IF(S34="Feb",1,0)</f>
        <v>0</v>
      </c>
      <c r="X34" s="22">
        <f>IF(S34="Mar",1,0)</f>
        <v>0</v>
      </c>
      <c r="Y34" s="22">
        <f>IF(S34="Apr",1,0)</f>
        <v>0</v>
      </c>
      <c r="Z34" s="22">
        <f>IF(S34="may",1,0)</f>
        <v>0</v>
      </c>
      <c r="AA34" s="22">
        <f>IF(S34="Jun",1,0)</f>
        <v>0</v>
      </c>
      <c r="AB34" s="22">
        <f>IF(S34="Jul",1,0)</f>
        <v>0</v>
      </c>
      <c r="AC34" s="22">
        <f>IF(S34="Aug",1,0)</f>
        <v>0</v>
      </c>
      <c r="AD34" s="22">
        <f>IF(S34="Sep",1,0)</f>
        <v>1</v>
      </c>
      <c r="AE34" s="22">
        <f>IF(S34="Oct",1,0)</f>
        <v>0</v>
      </c>
      <c r="AF34" s="22">
        <f>IF(S34="Nov",1,0)</f>
        <v>0</v>
      </c>
    </row>
    <row r="35" spans="1:32" x14ac:dyDescent="0.2">
      <c r="A35" s="18"/>
      <c r="B35" s="18"/>
      <c r="C35" s="18"/>
      <c r="D35" s="18"/>
      <c r="E35" s="18"/>
      <c r="F35" s="18"/>
      <c r="G35" s="18"/>
      <c r="H35" s="18"/>
      <c r="I35" s="18"/>
      <c r="J35" s="18"/>
      <c r="K35" s="18"/>
      <c r="L35" s="18"/>
      <c r="M35" s="18"/>
      <c r="N35" s="18"/>
      <c r="O35" s="18"/>
      <c r="P35" s="18"/>
      <c r="R35" s="22"/>
      <c r="S35" s="22" t="s">
        <v>9</v>
      </c>
      <c r="T35" s="22">
        <v>148</v>
      </c>
      <c r="U35" s="22">
        <v>34</v>
      </c>
      <c r="V35" s="22">
        <f>IF(S35="Jan",1,0)</f>
        <v>0</v>
      </c>
      <c r="W35" s="22">
        <f>IF(S35="Feb",1,0)</f>
        <v>0</v>
      </c>
      <c r="X35" s="22">
        <f>IF(S35="Mar",1,0)</f>
        <v>0</v>
      </c>
      <c r="Y35" s="22">
        <f>IF(S35="Apr",1,0)</f>
        <v>0</v>
      </c>
      <c r="Z35" s="22">
        <f>IF(S35="may",1,0)</f>
        <v>0</v>
      </c>
      <c r="AA35" s="22">
        <f>IF(S35="Jun",1,0)</f>
        <v>0</v>
      </c>
      <c r="AB35" s="22">
        <f>IF(S35="Jul",1,0)</f>
        <v>0</v>
      </c>
      <c r="AC35" s="22">
        <f>IF(S35="Aug",1,0)</f>
        <v>0</v>
      </c>
      <c r="AD35" s="22">
        <f>IF(S35="Sep",1,0)</f>
        <v>0</v>
      </c>
      <c r="AE35" s="22">
        <f>IF(S35="Oct",1,0)</f>
        <v>1</v>
      </c>
      <c r="AF35" s="22">
        <f>IF(S35="Nov",1,0)</f>
        <v>0</v>
      </c>
    </row>
    <row r="36" spans="1:32" x14ac:dyDescent="0.2">
      <c r="A36" s="18"/>
      <c r="B36" s="18"/>
      <c r="C36" s="18"/>
      <c r="D36" s="18"/>
      <c r="E36" s="18"/>
      <c r="F36" s="18"/>
      <c r="G36" s="18"/>
      <c r="H36" s="18"/>
      <c r="I36" s="18"/>
      <c r="J36" s="18"/>
      <c r="K36" s="18"/>
      <c r="L36" s="18"/>
      <c r="M36" s="18"/>
      <c r="N36" s="18"/>
      <c r="O36" s="18"/>
      <c r="P36" s="18"/>
      <c r="R36" s="22"/>
      <c r="S36" s="22" t="s">
        <v>10</v>
      </c>
      <c r="T36" s="22">
        <v>173</v>
      </c>
      <c r="U36" s="22">
        <v>35</v>
      </c>
      <c r="V36" s="22">
        <f>IF(S36="Jan",1,0)</f>
        <v>0</v>
      </c>
      <c r="W36" s="22">
        <f>IF(S36="Feb",1,0)</f>
        <v>0</v>
      </c>
      <c r="X36" s="22">
        <f>IF(S36="Mar",1,0)</f>
        <v>0</v>
      </c>
      <c r="Y36" s="22">
        <f>IF(S36="Apr",1,0)</f>
        <v>0</v>
      </c>
      <c r="Z36" s="22">
        <f>IF(S36="may",1,0)</f>
        <v>0</v>
      </c>
      <c r="AA36" s="22">
        <f>IF(S36="Jun",1,0)</f>
        <v>0</v>
      </c>
      <c r="AB36" s="22">
        <f>IF(S36="Jul",1,0)</f>
        <v>0</v>
      </c>
      <c r="AC36" s="22">
        <f>IF(S36="Aug",1,0)</f>
        <v>0</v>
      </c>
      <c r="AD36" s="22">
        <f>IF(S36="Sep",1,0)</f>
        <v>0</v>
      </c>
      <c r="AE36" s="22">
        <f>IF(S36="Oct",1,0)</f>
        <v>0</v>
      </c>
      <c r="AF36" s="22">
        <f>IF(S36="Nov",1,0)</f>
        <v>1</v>
      </c>
    </row>
    <row r="37" spans="1:32" x14ac:dyDescent="0.2">
      <c r="A37" s="18"/>
      <c r="B37" s="18"/>
      <c r="C37" s="18"/>
      <c r="D37" s="18"/>
      <c r="E37" s="18"/>
      <c r="F37" s="18"/>
      <c r="G37" s="18"/>
      <c r="H37" s="18"/>
      <c r="I37" s="18"/>
      <c r="J37" s="18"/>
      <c r="K37" s="18"/>
      <c r="L37" s="18"/>
      <c r="M37" s="18"/>
      <c r="N37" s="18"/>
      <c r="O37" s="18"/>
      <c r="P37" s="18"/>
      <c r="R37" s="22"/>
      <c r="S37" s="22" t="s">
        <v>11</v>
      </c>
      <c r="T37" s="22">
        <v>235</v>
      </c>
      <c r="U37" s="22">
        <v>36</v>
      </c>
      <c r="V37" s="22">
        <f>IF(S37="Jan",1,0)</f>
        <v>0</v>
      </c>
      <c r="W37" s="22">
        <f>IF(S37="Feb",1,0)</f>
        <v>0</v>
      </c>
      <c r="X37" s="22">
        <f>IF(S37="Mar",1,0)</f>
        <v>0</v>
      </c>
      <c r="Y37" s="22">
        <f>IF(S37="Apr",1,0)</f>
        <v>0</v>
      </c>
      <c r="Z37" s="22">
        <f>IF(S37="may",1,0)</f>
        <v>0</v>
      </c>
      <c r="AA37" s="22">
        <f>IF(S37="Jun",1,0)</f>
        <v>0</v>
      </c>
      <c r="AB37" s="22">
        <f>IF(S37="Jul",1,0)</f>
        <v>0</v>
      </c>
      <c r="AC37" s="22">
        <f>IF(S37="Aug",1,0)</f>
        <v>0</v>
      </c>
      <c r="AD37" s="22">
        <f>IF(S37="Sep",1,0)</f>
        <v>0</v>
      </c>
      <c r="AE37" s="22">
        <f>IF(S37="Oct",1,0)</f>
        <v>0</v>
      </c>
      <c r="AF37" s="22">
        <f>IF(S37="Nov",1,0)</f>
        <v>0</v>
      </c>
    </row>
    <row r="38" spans="1:32" x14ac:dyDescent="0.2">
      <c r="A38" s="18"/>
      <c r="B38" s="18"/>
      <c r="C38" s="18"/>
      <c r="D38" s="18"/>
      <c r="E38" s="18"/>
      <c r="F38" s="18"/>
      <c r="G38" s="18"/>
      <c r="H38" s="18"/>
      <c r="I38" s="18"/>
      <c r="J38" s="18"/>
      <c r="K38" s="18"/>
      <c r="L38" s="18"/>
      <c r="M38" s="18"/>
      <c r="N38" s="18"/>
      <c r="O38" s="18"/>
      <c r="P38" s="18"/>
      <c r="R38" s="20">
        <v>4</v>
      </c>
      <c r="S38" s="20" t="s">
        <v>0</v>
      </c>
      <c r="T38" s="27">
        <f>$T$68+($T$69*U38)+($T$70*V38)+($T$71*W38)+($T$72*X38)+($T$73*Y38)+($T$74*Z38)+($T$75*AA38)+($T$76*AB38)+($T$77*AC38)+($T$78*AD38)+($T$79*AE38)+($T$80*AF38)</f>
        <v>286.74999999999994</v>
      </c>
      <c r="U38" s="20">
        <v>37</v>
      </c>
      <c r="V38" s="22">
        <f>IF(S38="Jan",1,0)</f>
        <v>1</v>
      </c>
      <c r="W38" s="22">
        <f>IF(S38="Feb",1,0)</f>
        <v>0</v>
      </c>
      <c r="X38" s="22">
        <f>IF(S38="Mar",1,0)</f>
        <v>0</v>
      </c>
      <c r="Y38" s="22">
        <f>IF(S38="Apr",1,0)</f>
        <v>0</v>
      </c>
      <c r="Z38" s="22">
        <f>IF(S38="may",1,0)</f>
        <v>0</v>
      </c>
      <c r="AA38" s="22">
        <f>IF(S38="Jun",1,0)</f>
        <v>0</v>
      </c>
      <c r="AB38" s="22">
        <f>IF(S38="Jul",1,0)</f>
        <v>0</v>
      </c>
      <c r="AC38" s="22">
        <f>IF(S38="Aug",1,0)</f>
        <v>0</v>
      </c>
      <c r="AD38" s="22">
        <f>IF(S38="Sep",1,0)</f>
        <v>0</v>
      </c>
      <c r="AE38" s="22">
        <f>IF(S38="Oct",1,0)</f>
        <v>0</v>
      </c>
      <c r="AF38" s="22">
        <f>IF(S38="Nov",1,0)</f>
        <v>0</v>
      </c>
    </row>
    <row r="39" spans="1:32" x14ac:dyDescent="0.2">
      <c r="A39" s="18"/>
      <c r="B39" s="18"/>
      <c r="C39" s="18"/>
      <c r="D39" s="18"/>
      <c r="E39" s="18"/>
      <c r="F39" s="18"/>
      <c r="G39" s="18"/>
      <c r="H39" s="18"/>
      <c r="I39" s="18"/>
      <c r="J39" s="18"/>
      <c r="K39" s="18"/>
      <c r="L39" s="18"/>
      <c r="M39" s="18"/>
      <c r="N39" s="18"/>
      <c r="O39" s="18"/>
      <c r="P39" s="18"/>
      <c r="R39" s="20"/>
      <c r="S39" s="20" t="s">
        <v>1</v>
      </c>
      <c r="T39" s="27">
        <f>$T$68+($T$69*U39)+($T$70*V39)+($T$71*W39)+($T$72*X39)+($T$73*Y39)+($T$74*Z39)+($T$75*AA39)+($T$76*AB39)+($T$77*AC39)+($T$78*AD39)+($T$79*AE39)+($T$80*AF39)</f>
        <v>267.08333333333337</v>
      </c>
      <c r="U39" s="20">
        <v>38</v>
      </c>
      <c r="V39" s="22">
        <f>IF(S39="Jan",1,0)</f>
        <v>0</v>
      </c>
      <c r="W39" s="22">
        <f>IF(S39="Feb",1,0)</f>
        <v>1</v>
      </c>
      <c r="X39" s="22">
        <f>IF(S39="Mar",1,0)</f>
        <v>0</v>
      </c>
      <c r="Y39" s="22">
        <f>IF(S39="Apr",1,0)</f>
        <v>0</v>
      </c>
      <c r="Z39" s="22">
        <f>IF(S39="may",1,0)</f>
        <v>0</v>
      </c>
      <c r="AA39" s="22">
        <f>IF(S39="Jun",1,0)</f>
        <v>0</v>
      </c>
      <c r="AB39" s="22">
        <f>IF(S39="Jul",1,0)</f>
        <v>0</v>
      </c>
      <c r="AC39" s="22">
        <f>IF(S39="Aug",1,0)</f>
        <v>0</v>
      </c>
      <c r="AD39" s="22">
        <f>IF(S39="Sep",1,0)</f>
        <v>0</v>
      </c>
      <c r="AE39" s="22">
        <f>IF(S39="Oct",1,0)</f>
        <v>0</v>
      </c>
      <c r="AF39" s="22">
        <f>IF(S39="Nov",1,0)</f>
        <v>0</v>
      </c>
    </row>
    <row r="40" spans="1:32" x14ac:dyDescent="0.2">
      <c r="A40" s="18"/>
      <c r="B40" s="18"/>
      <c r="C40" s="18"/>
      <c r="D40" s="18"/>
      <c r="E40" s="18"/>
      <c r="F40" s="18"/>
      <c r="G40" s="18"/>
      <c r="H40" s="18"/>
      <c r="I40" s="18"/>
      <c r="J40" s="18"/>
      <c r="K40" s="18"/>
      <c r="L40" s="18"/>
      <c r="M40" s="18"/>
      <c r="N40" s="18"/>
      <c r="O40" s="18"/>
      <c r="P40" s="18"/>
      <c r="R40" s="20"/>
      <c r="S40" s="20" t="s">
        <v>2</v>
      </c>
      <c r="T40" s="27">
        <f>$T$68+($T$69*U40)+($T$70*V40)+($T$71*W40)+($T$72*X40)+($T$73*Y40)+($T$74*Z40)+($T$75*AA40)+($T$76*AB40)+($T$77*AC40)+($T$78*AD40)+($T$79*AE40)+($T$80*AF40)</f>
        <v>272.41666666666663</v>
      </c>
      <c r="U40" s="20">
        <v>39</v>
      </c>
      <c r="V40" s="22">
        <f>IF(S40="Jan",1,0)</f>
        <v>0</v>
      </c>
      <c r="W40" s="22">
        <f>IF(S40="Feb",1,0)</f>
        <v>0</v>
      </c>
      <c r="X40" s="22">
        <f>IF(S40="Mar",1,0)</f>
        <v>1</v>
      </c>
      <c r="Y40" s="22">
        <f>IF(S40="Apr",1,0)</f>
        <v>0</v>
      </c>
      <c r="Z40" s="22">
        <f>IF(S40="may",1,0)</f>
        <v>0</v>
      </c>
      <c r="AA40" s="22">
        <f>IF(S40="Jun",1,0)</f>
        <v>0</v>
      </c>
      <c r="AB40" s="22">
        <f>IF(S40="Jul",1,0)</f>
        <v>0</v>
      </c>
      <c r="AC40" s="22">
        <f>IF(S40="Aug",1,0)</f>
        <v>0</v>
      </c>
      <c r="AD40" s="22">
        <f>IF(S40="Sep",1,0)</f>
        <v>0</v>
      </c>
      <c r="AE40" s="22">
        <f>IF(S40="Oct",1,0)</f>
        <v>0</v>
      </c>
      <c r="AF40" s="22">
        <f>IF(S40="Nov",1,0)</f>
        <v>0</v>
      </c>
    </row>
    <row r="41" spans="1:32" x14ac:dyDescent="0.2">
      <c r="A41" s="18"/>
      <c r="B41" s="18"/>
      <c r="C41" s="18"/>
      <c r="D41" s="18"/>
      <c r="E41" s="18"/>
      <c r="F41" s="18"/>
      <c r="G41" s="18"/>
      <c r="H41" s="18"/>
      <c r="I41" s="18"/>
      <c r="J41" s="18"/>
      <c r="K41" s="18"/>
      <c r="L41" s="18"/>
      <c r="M41" s="18"/>
      <c r="N41" s="18"/>
      <c r="O41" s="18"/>
      <c r="P41" s="18"/>
      <c r="R41" s="20"/>
      <c r="S41" s="20" t="s">
        <v>3</v>
      </c>
      <c r="T41" s="27">
        <f>$T$68+($T$69*U41)+($T$70*V41)+($T$71*W41)+($T$72*X41)+($T$73*Y41)+($T$74*Z41)+($T$75*AA41)+($T$76*AB41)+($T$77*AC41)+($T$78*AD41)+($T$79*AE41)+($T$80*AF41)</f>
        <v>216.41666666666669</v>
      </c>
      <c r="U41" s="20">
        <v>40</v>
      </c>
      <c r="V41" s="22">
        <f>IF(S41="Jan",1,0)</f>
        <v>0</v>
      </c>
      <c r="W41" s="22">
        <f>IF(S41="Feb",1,0)</f>
        <v>0</v>
      </c>
      <c r="X41" s="22">
        <f>IF(S41="Mar",1,0)</f>
        <v>0</v>
      </c>
      <c r="Y41" s="22">
        <f>IF(S41="Apr",1,0)</f>
        <v>1</v>
      </c>
      <c r="Z41" s="22">
        <f>IF(S41="may",1,0)</f>
        <v>0</v>
      </c>
      <c r="AA41" s="22">
        <f>IF(S41="Jun",1,0)</f>
        <v>0</v>
      </c>
      <c r="AB41" s="22">
        <f>IF(S41="Jul",1,0)</f>
        <v>0</v>
      </c>
      <c r="AC41" s="22">
        <f>IF(S41="Aug",1,0)</f>
        <v>0</v>
      </c>
      <c r="AD41" s="22">
        <f>IF(S41="Sep",1,0)</f>
        <v>0</v>
      </c>
      <c r="AE41" s="22">
        <f>IF(S41="Oct",1,0)</f>
        <v>0</v>
      </c>
      <c r="AF41" s="22">
        <f>IF(S41="Nov",1,0)</f>
        <v>0</v>
      </c>
    </row>
    <row r="42" spans="1:32" x14ac:dyDescent="0.2">
      <c r="A42" s="18"/>
      <c r="B42" s="18"/>
      <c r="C42" s="18"/>
      <c r="D42" s="18"/>
      <c r="E42" s="18"/>
      <c r="F42" s="18"/>
      <c r="G42" s="18"/>
      <c r="H42" s="18"/>
      <c r="I42" s="18"/>
      <c r="J42" s="18"/>
      <c r="K42" s="18"/>
      <c r="L42" s="18"/>
      <c r="M42" s="18"/>
      <c r="N42" s="18"/>
      <c r="O42" s="18"/>
      <c r="P42" s="18"/>
      <c r="R42" s="20"/>
      <c r="S42" s="20" t="s">
        <v>4</v>
      </c>
      <c r="T42" s="27">
        <f>$T$68+($T$69*U42)+($T$70*V42)+($T$71*W42)+($T$72*X42)+($T$73*Y42)+($T$74*Z42)+($T$75*AA42)+($T$76*AB42)+($T$77*AC42)+($T$78*AD42)+($T$79*AE42)+($T$80*AF42)</f>
        <v>220.08333333333331</v>
      </c>
      <c r="U42" s="20">
        <v>41</v>
      </c>
      <c r="V42" s="22">
        <f>IF(S42="Jan",1,0)</f>
        <v>0</v>
      </c>
      <c r="W42" s="22">
        <f>IF(S42="Feb",1,0)</f>
        <v>0</v>
      </c>
      <c r="X42" s="22">
        <f>IF(S42="Mar",1,0)</f>
        <v>0</v>
      </c>
      <c r="Y42" s="22">
        <f>IF(S42="Apr",1,0)</f>
        <v>0</v>
      </c>
      <c r="Z42" s="22">
        <f>IF(S42="may",1,0)</f>
        <v>1</v>
      </c>
      <c r="AA42" s="22">
        <f>IF(S42="Jun",1,0)</f>
        <v>0</v>
      </c>
      <c r="AB42" s="22">
        <f>IF(S42="Jul",1,0)</f>
        <v>0</v>
      </c>
      <c r="AC42" s="22">
        <f>IF(S42="Aug",1,0)</f>
        <v>0</v>
      </c>
      <c r="AD42" s="22">
        <f>IF(S42="Sep",1,0)</f>
        <v>0</v>
      </c>
      <c r="AE42" s="22">
        <f>IF(S42="Oct",1,0)</f>
        <v>0</v>
      </c>
      <c r="AF42" s="22">
        <f>IF(S42="Nov",1,0)</f>
        <v>0</v>
      </c>
    </row>
    <row r="43" spans="1:32" x14ac:dyDescent="0.2">
      <c r="R43" s="20"/>
      <c r="S43" s="20" t="s">
        <v>5</v>
      </c>
      <c r="T43" s="27">
        <f>$T$68+($T$69*U43)+($T$70*V43)+($T$71*W43)+($T$72*X43)+($T$73*Y43)+($T$74*Z43)+($T$75*AA43)+($T$76*AB43)+($T$77*AC43)+($T$78*AD43)+($T$79*AE43)+($T$80*AF43)</f>
        <v>174.08333333333334</v>
      </c>
      <c r="U43" s="20">
        <v>42</v>
      </c>
      <c r="V43" s="22">
        <f>IF(S43="Jan",1,0)</f>
        <v>0</v>
      </c>
      <c r="W43" s="22">
        <f>IF(S43="Feb",1,0)</f>
        <v>0</v>
      </c>
      <c r="X43" s="22">
        <f>IF(S43="Mar",1,0)</f>
        <v>0</v>
      </c>
      <c r="Y43" s="22">
        <f>IF(S43="Apr",1,0)</f>
        <v>0</v>
      </c>
      <c r="Z43" s="22">
        <f>IF(S43="may",1,0)</f>
        <v>0</v>
      </c>
      <c r="AA43" s="22">
        <f>IF(S43="Jun",1,0)</f>
        <v>1</v>
      </c>
      <c r="AB43" s="22">
        <f>IF(S43="Jul",1,0)</f>
        <v>0</v>
      </c>
      <c r="AC43" s="22">
        <f>IF(S43="Aug",1,0)</f>
        <v>0</v>
      </c>
      <c r="AD43" s="22">
        <f>IF(S43="Sep",1,0)</f>
        <v>0</v>
      </c>
      <c r="AE43" s="22">
        <f>IF(S43="Oct",1,0)</f>
        <v>0</v>
      </c>
      <c r="AF43" s="22">
        <f>IF(S43="Nov",1,0)</f>
        <v>0</v>
      </c>
    </row>
    <row r="44" spans="1:32" x14ac:dyDescent="0.2">
      <c r="R44" s="20"/>
      <c r="S44" s="20" t="s">
        <v>6</v>
      </c>
      <c r="T44" s="27">
        <f>$T$68+($T$69*U44)+($T$70*V44)+($T$71*W44)+($T$72*X44)+($T$73*Y44)+($T$74*Z44)+($T$75*AA44)+($T$76*AB44)+($T$77*AC44)+($T$78*AD44)+($T$79*AE44)+($T$80*AF44)</f>
        <v>180.41666666666669</v>
      </c>
      <c r="U44" s="20">
        <v>43</v>
      </c>
      <c r="V44" s="22">
        <f>IF(S44="Jan",1,0)</f>
        <v>0</v>
      </c>
      <c r="W44" s="22">
        <f>IF(S44="Feb",1,0)</f>
        <v>0</v>
      </c>
      <c r="X44" s="22">
        <f>IF(S44="Mar",1,0)</f>
        <v>0</v>
      </c>
      <c r="Y44" s="22">
        <f>IF(S44="Apr",1,0)</f>
        <v>0</v>
      </c>
      <c r="Z44" s="22">
        <f>IF(S44="may",1,0)</f>
        <v>0</v>
      </c>
      <c r="AA44" s="22">
        <f>IF(S44="Jun",1,0)</f>
        <v>0</v>
      </c>
      <c r="AB44" s="22">
        <f>IF(S44="Jul",1,0)</f>
        <v>1</v>
      </c>
      <c r="AC44" s="22">
        <f>IF(S44="Aug",1,0)</f>
        <v>0</v>
      </c>
      <c r="AD44" s="22">
        <f>IF(S44="Sep",1,0)</f>
        <v>0</v>
      </c>
      <c r="AE44" s="22">
        <f>IF(S44="Oct",1,0)</f>
        <v>0</v>
      </c>
      <c r="AF44" s="22">
        <f>IF(S44="Nov",1,0)</f>
        <v>0</v>
      </c>
    </row>
    <row r="45" spans="1:32" x14ac:dyDescent="0.2">
      <c r="R45" s="20"/>
      <c r="S45" s="20" t="s">
        <v>7</v>
      </c>
      <c r="T45" s="27">
        <f>$T$68+($T$69*U45)+($T$70*V45)+($T$71*W45)+($T$72*X45)+($T$73*Y45)+($T$74*Z45)+($T$75*AA45)+($T$76*AB45)+($T$77*AC45)+($T$78*AD45)+($T$79*AE45)+($T$80*AF45)</f>
        <v>186.75</v>
      </c>
      <c r="U45" s="20">
        <v>44</v>
      </c>
      <c r="V45" s="22">
        <f>IF(S45="Jan",1,0)</f>
        <v>0</v>
      </c>
      <c r="W45" s="22">
        <f>IF(S45="Feb",1,0)</f>
        <v>0</v>
      </c>
      <c r="X45" s="22">
        <f>IF(S45="Mar",1,0)</f>
        <v>0</v>
      </c>
      <c r="Y45" s="22">
        <f>IF(S45="Apr",1,0)</f>
        <v>0</v>
      </c>
      <c r="Z45" s="22">
        <f>IF(S45="may",1,0)</f>
        <v>0</v>
      </c>
      <c r="AA45" s="22">
        <f>IF(S45="Jun",1,0)</f>
        <v>0</v>
      </c>
      <c r="AB45" s="22">
        <f>IF(S45="Jul",1,0)</f>
        <v>0</v>
      </c>
      <c r="AC45" s="22">
        <f>IF(S45="Aug",1,0)</f>
        <v>1</v>
      </c>
      <c r="AD45" s="22">
        <f>IF(S45="Sep",1,0)</f>
        <v>0</v>
      </c>
      <c r="AE45" s="22">
        <f>IF(S45="Oct",1,0)</f>
        <v>0</v>
      </c>
      <c r="AF45" s="22">
        <f>IF(S45="Nov",1,0)</f>
        <v>0</v>
      </c>
    </row>
    <row r="46" spans="1:32" x14ac:dyDescent="0.2">
      <c r="R46" s="20"/>
      <c r="S46" s="20" t="s">
        <v>8</v>
      </c>
      <c r="T46" s="27">
        <f>$T$68+($T$69*U46)+($T$70*V46)+($T$71*W46)+($T$72*X46)+($T$73*Y46)+($T$74*Z46)+($T$75*AA46)+($T$76*AB46)+($T$77*AC46)+($T$78*AD46)+($T$79*AE46)+($T$80*AF46)</f>
        <v>143.75000000000003</v>
      </c>
      <c r="U46" s="20">
        <v>45</v>
      </c>
      <c r="V46" s="22">
        <f>IF(S46="Jan",1,0)</f>
        <v>0</v>
      </c>
      <c r="W46" s="22">
        <f>IF(S46="Feb",1,0)</f>
        <v>0</v>
      </c>
      <c r="X46" s="22">
        <f>IF(S46="Mar",1,0)</f>
        <v>0</v>
      </c>
      <c r="Y46" s="22">
        <f>IF(S46="Apr",1,0)</f>
        <v>0</v>
      </c>
      <c r="Z46" s="22">
        <f>IF(S46="may",1,0)</f>
        <v>0</v>
      </c>
      <c r="AA46" s="22">
        <f>IF(S46="Jun",1,0)</f>
        <v>0</v>
      </c>
      <c r="AB46" s="22">
        <f>IF(S46="Jul",1,0)</f>
        <v>0</v>
      </c>
      <c r="AC46" s="22">
        <f>IF(S46="Aug",1,0)</f>
        <v>0</v>
      </c>
      <c r="AD46" s="22">
        <f>IF(S46="Sep",1,0)</f>
        <v>1</v>
      </c>
      <c r="AE46" s="22">
        <f>IF(S46="Oct",1,0)</f>
        <v>0</v>
      </c>
      <c r="AF46" s="22">
        <f>IF(S46="Nov",1,0)</f>
        <v>0</v>
      </c>
    </row>
    <row r="47" spans="1:32" x14ac:dyDescent="0.2">
      <c r="R47" s="20"/>
      <c r="S47" s="20" t="s">
        <v>9</v>
      </c>
      <c r="T47" s="27">
        <f>$T$68+($T$69*U47)+($T$70*V47)+($T$71*W47)+($T$72*X47)+($T$73*Y47)+($T$74*Z47)+($T$75*AA47)+($T$76*AB47)+($T$77*AC47)+($T$78*AD47)+($T$79*AE47)+($T$80*AF47)</f>
        <v>160.41666666666663</v>
      </c>
      <c r="U47" s="20">
        <v>46</v>
      </c>
      <c r="V47" s="22">
        <f>IF(S47="Jan",1,0)</f>
        <v>0</v>
      </c>
      <c r="W47" s="22">
        <f>IF(S47="Feb",1,0)</f>
        <v>0</v>
      </c>
      <c r="X47" s="22">
        <f>IF(S47="Mar",1,0)</f>
        <v>0</v>
      </c>
      <c r="Y47" s="22">
        <f>IF(S47="Apr",1,0)</f>
        <v>0</v>
      </c>
      <c r="Z47" s="22">
        <f>IF(S47="may",1,0)</f>
        <v>0</v>
      </c>
      <c r="AA47" s="22">
        <f>IF(S47="Jun",1,0)</f>
        <v>0</v>
      </c>
      <c r="AB47" s="22">
        <f>IF(S47="Jul",1,0)</f>
        <v>0</v>
      </c>
      <c r="AC47" s="22">
        <f>IF(S47="Aug",1,0)</f>
        <v>0</v>
      </c>
      <c r="AD47" s="22">
        <f>IF(S47="Sep",1,0)</f>
        <v>0</v>
      </c>
      <c r="AE47" s="22">
        <f>IF(S47="Oct",1,0)</f>
        <v>1</v>
      </c>
      <c r="AF47" s="22">
        <f>IF(S47="Nov",1,0)</f>
        <v>0</v>
      </c>
    </row>
    <row r="48" spans="1:32" x14ac:dyDescent="0.2">
      <c r="R48" s="20"/>
      <c r="S48" s="20" t="s">
        <v>10</v>
      </c>
      <c r="T48" s="27">
        <f>$T$68+($T$69*U48)+($T$70*V48)+($T$71*W48)+($T$72*X48)+($T$73*Y48)+($T$74*Z48)+($T$75*AA48)+($T$76*AB48)+($T$77*AC48)+($T$78*AD48)+($T$79*AE48)+($T$80*AF48)</f>
        <v>188.41666666666663</v>
      </c>
      <c r="U48" s="20">
        <v>47</v>
      </c>
      <c r="V48" s="22">
        <f>IF(S48="Jan",1,0)</f>
        <v>0</v>
      </c>
      <c r="W48" s="22">
        <f>IF(S48="Feb",1,0)</f>
        <v>0</v>
      </c>
      <c r="X48" s="22">
        <f>IF(S48="Mar",1,0)</f>
        <v>0</v>
      </c>
      <c r="Y48" s="22">
        <f>IF(S48="Apr",1,0)</f>
        <v>0</v>
      </c>
      <c r="Z48" s="22">
        <f>IF(S48="may",1,0)</f>
        <v>0</v>
      </c>
      <c r="AA48" s="22">
        <f>IF(S48="Jun",1,0)</f>
        <v>0</v>
      </c>
      <c r="AB48" s="22">
        <f>IF(S48="Jul",1,0)</f>
        <v>0</v>
      </c>
      <c r="AC48" s="22">
        <f>IF(S48="Aug",1,0)</f>
        <v>0</v>
      </c>
      <c r="AD48" s="22">
        <f>IF(S48="Sep",1,0)</f>
        <v>0</v>
      </c>
      <c r="AE48" s="22">
        <f>IF(S48="Oct",1,0)</f>
        <v>0</v>
      </c>
      <c r="AF48" s="22">
        <f>IF(S48="Nov",1,0)</f>
        <v>1</v>
      </c>
    </row>
    <row r="49" spans="18:32" x14ac:dyDescent="0.2">
      <c r="R49" s="20"/>
      <c r="S49" s="20" t="s">
        <v>11</v>
      </c>
      <c r="T49" s="27">
        <f>$T$68+($T$69*U49)+($T$70*V49)+($T$71*W49)+($T$72*X49)+($T$73*Y49)+($T$74*Z49)+($T$75*AA49)+($T$76*AB49)+($T$77*AC49)+($T$78*AD49)+($T$79*AE49)+($T$80*AF49)</f>
        <v>248.08333333333334</v>
      </c>
      <c r="U49" s="20">
        <v>48</v>
      </c>
      <c r="V49" s="22">
        <f>IF(S49="Jan",1,0)</f>
        <v>0</v>
      </c>
      <c r="W49" s="22">
        <f>IF(S49="Feb",1,0)</f>
        <v>0</v>
      </c>
      <c r="X49" s="22">
        <f>IF(S49="Mar",1,0)</f>
        <v>0</v>
      </c>
      <c r="Y49" s="22">
        <f>IF(S49="Apr",1,0)</f>
        <v>0</v>
      </c>
      <c r="Z49" s="22">
        <f>IF(S49="may",1,0)</f>
        <v>0</v>
      </c>
      <c r="AA49" s="22">
        <f>IF(S49="Jun",1,0)</f>
        <v>0</v>
      </c>
      <c r="AB49" s="22">
        <f>IF(S49="Jul",1,0)</f>
        <v>0</v>
      </c>
      <c r="AC49" s="22">
        <f>IF(S49="Aug",1,0)</f>
        <v>0</v>
      </c>
      <c r="AD49" s="22">
        <f>IF(S49="Sep",1,0)</f>
        <v>0</v>
      </c>
      <c r="AE49" s="22">
        <f>IF(S49="Oct",1,0)</f>
        <v>0</v>
      </c>
      <c r="AF49" s="22">
        <f>IF(S49="Nov",1,0)</f>
        <v>0</v>
      </c>
    </row>
    <row r="52" spans="18:32" x14ac:dyDescent="0.2">
      <c r="S52" s="26" t="s">
        <v>26</v>
      </c>
    </row>
    <row r="53" spans="18:32" ht="17" thickBot="1" x14ac:dyDescent="0.25"/>
    <row r="54" spans="18:32" x14ac:dyDescent="0.2">
      <c r="S54" s="28" t="s">
        <v>27</v>
      </c>
      <c r="T54" s="28"/>
    </row>
    <row r="55" spans="18:32" x14ac:dyDescent="0.2">
      <c r="S55" s="26" t="s">
        <v>28</v>
      </c>
      <c r="T55" s="26">
        <v>0.99708229958431915</v>
      </c>
    </row>
    <row r="56" spans="18:32" x14ac:dyDescent="0.2">
      <c r="S56" s="26" t="s">
        <v>29</v>
      </c>
      <c r="T56" s="26">
        <v>0.994173112144354</v>
      </c>
    </row>
    <row r="57" spans="18:32" x14ac:dyDescent="0.2">
      <c r="S57" s="26" t="s">
        <v>30</v>
      </c>
      <c r="T57" s="26">
        <v>0.9911329967414082</v>
      </c>
    </row>
    <row r="58" spans="18:32" x14ac:dyDescent="0.2">
      <c r="S58" s="26" t="s">
        <v>31</v>
      </c>
      <c r="T58" s="26">
        <v>4.4410388522232722</v>
      </c>
    </row>
    <row r="59" spans="18:32" ht="17" thickBot="1" x14ac:dyDescent="0.25">
      <c r="S59" s="29" t="s">
        <v>32</v>
      </c>
      <c r="T59" s="29">
        <v>36</v>
      </c>
    </row>
    <row r="61" spans="18:32" ht="17" thickBot="1" x14ac:dyDescent="0.25">
      <c r="S61" s="26" t="s">
        <v>33</v>
      </c>
    </row>
    <row r="62" spans="18:32" x14ac:dyDescent="0.2">
      <c r="S62" s="30"/>
      <c r="T62" s="30" t="s">
        <v>38</v>
      </c>
      <c r="U62" s="30" t="s">
        <v>39</v>
      </c>
      <c r="V62" s="30" t="s">
        <v>40</v>
      </c>
      <c r="W62" s="30" t="s">
        <v>41</v>
      </c>
      <c r="X62" s="30" t="s">
        <v>42</v>
      </c>
    </row>
    <row r="63" spans="18:32" x14ac:dyDescent="0.2">
      <c r="S63" s="26" t="s">
        <v>34</v>
      </c>
      <c r="T63" s="26">
        <v>12</v>
      </c>
      <c r="U63" s="26">
        <v>77396.680555555547</v>
      </c>
      <c r="V63" s="26">
        <v>6449.7233796296287</v>
      </c>
      <c r="W63" s="26">
        <v>327.01821489441915</v>
      </c>
      <c r="X63" s="26">
        <v>1.0188179189817924E-22</v>
      </c>
    </row>
    <row r="64" spans="18:32" x14ac:dyDescent="0.2">
      <c r="S64" s="26" t="s">
        <v>35</v>
      </c>
      <c r="T64" s="26">
        <v>23</v>
      </c>
      <c r="U64" s="26">
        <v>453.62500000000176</v>
      </c>
      <c r="V64" s="26">
        <v>19.722826086956598</v>
      </c>
    </row>
    <row r="65" spans="19:27" ht="17" thickBot="1" x14ac:dyDescent="0.25">
      <c r="S65" s="29" t="s">
        <v>36</v>
      </c>
      <c r="T65" s="29">
        <v>35</v>
      </c>
      <c r="U65" s="29">
        <v>77850.305555555547</v>
      </c>
      <c r="V65" s="29"/>
      <c r="W65" s="29"/>
      <c r="X65" s="29"/>
    </row>
    <row r="66" spans="19:27" ht="17" thickBot="1" x14ac:dyDescent="0.25"/>
    <row r="67" spans="19:27" x14ac:dyDescent="0.2">
      <c r="S67" s="30"/>
      <c r="T67" s="30" t="s">
        <v>43</v>
      </c>
      <c r="U67" s="30" t="s">
        <v>31</v>
      </c>
      <c r="V67" s="30" t="s">
        <v>44</v>
      </c>
      <c r="W67" s="30" t="s">
        <v>45</v>
      </c>
      <c r="X67" s="30" t="s">
        <v>46</v>
      </c>
      <c r="Y67" s="30" t="s">
        <v>47</v>
      </c>
      <c r="Z67" s="30" t="s">
        <v>48</v>
      </c>
      <c r="AA67" s="30" t="s">
        <v>49</v>
      </c>
    </row>
    <row r="68" spans="19:27" x14ac:dyDescent="0.2">
      <c r="S68" s="26" t="s">
        <v>37</v>
      </c>
      <c r="T68" s="31">
        <v>199.24999999999997</v>
      </c>
      <c r="U68" s="32">
        <v>3.1402886879199983</v>
      </c>
      <c r="V68" s="26">
        <v>63.449580532665998</v>
      </c>
      <c r="W68" s="32">
        <v>2.4720172572003094E-27</v>
      </c>
      <c r="X68" s="26">
        <v>192.75381790682141</v>
      </c>
      <c r="Y68" s="26">
        <v>205.74618209317853</v>
      </c>
      <c r="Z68" s="26">
        <v>192.75381790682141</v>
      </c>
      <c r="AA68" s="26">
        <v>205.74618209317853</v>
      </c>
    </row>
    <row r="69" spans="19:27" x14ac:dyDescent="0.2">
      <c r="S69" s="26" t="s">
        <v>14</v>
      </c>
      <c r="T69" s="31">
        <v>1.0173611111111118</v>
      </c>
      <c r="U69" s="32">
        <v>7.5543604970989484E-2</v>
      </c>
      <c r="V69" s="26">
        <v>13.467203630298055</v>
      </c>
      <c r="W69" s="32">
        <v>2.1393730127150388E-12</v>
      </c>
      <c r="X69" s="26">
        <v>0.86108725776938411</v>
      </c>
      <c r="Y69" s="26">
        <v>1.1736349644528394</v>
      </c>
      <c r="Z69" s="26">
        <v>0.86108725776938411</v>
      </c>
      <c r="AA69" s="26">
        <v>1.1736349644528394</v>
      </c>
    </row>
    <row r="70" spans="19:27" x14ac:dyDescent="0.2">
      <c r="S70" s="26" t="s">
        <v>15</v>
      </c>
      <c r="T70" s="31">
        <v>49.857638888888843</v>
      </c>
      <c r="U70" s="32">
        <v>3.7200911159716612</v>
      </c>
      <c r="V70" s="26">
        <v>13.402262830292635</v>
      </c>
      <c r="W70" s="32">
        <v>2.3622686813614214E-12</v>
      </c>
      <c r="X70" s="26">
        <v>42.162044090381769</v>
      </c>
      <c r="Y70" s="26">
        <v>57.553233687395917</v>
      </c>
      <c r="Z70" s="26">
        <v>42.162044090381769</v>
      </c>
      <c r="AA70" s="26">
        <v>57.553233687395917</v>
      </c>
    </row>
    <row r="71" spans="19:27" x14ac:dyDescent="0.2">
      <c r="S71" s="26" t="s">
        <v>16</v>
      </c>
      <c r="T71" s="31">
        <v>29.173611111111121</v>
      </c>
      <c r="U71" s="32">
        <v>3.7039484809914711</v>
      </c>
      <c r="V71" s="26">
        <v>7.8763544527762823</v>
      </c>
      <c r="W71" s="32">
        <v>5.5973376205363643E-8</v>
      </c>
      <c r="X71" s="26">
        <v>21.511409897308038</v>
      </c>
      <c r="Y71" s="26">
        <v>36.835812324914201</v>
      </c>
      <c r="Z71" s="26">
        <v>21.511409897308038</v>
      </c>
      <c r="AA71" s="26">
        <v>36.835812324914201</v>
      </c>
    </row>
    <row r="72" spans="19:27" x14ac:dyDescent="0.2">
      <c r="S72" s="26" t="s">
        <v>17</v>
      </c>
      <c r="T72" s="31">
        <v>33.489583333333307</v>
      </c>
      <c r="U72" s="32">
        <v>3.6892823775160908</v>
      </c>
      <c r="V72" s="26">
        <v>9.0775332182301192</v>
      </c>
      <c r="W72" s="32">
        <v>4.5941874167709742E-9</v>
      </c>
      <c r="X72" s="26">
        <v>25.857721266099762</v>
      </c>
      <c r="Y72" s="26">
        <v>41.121445400566849</v>
      </c>
      <c r="Z72" s="26">
        <v>25.857721266099762</v>
      </c>
      <c r="AA72" s="26">
        <v>41.121445400566849</v>
      </c>
    </row>
    <row r="73" spans="19:27" x14ac:dyDescent="0.2">
      <c r="S73" s="26" t="s">
        <v>18</v>
      </c>
      <c r="T73" s="31">
        <v>-23.527777777777782</v>
      </c>
      <c r="U73" s="32">
        <v>3.6761104777694822</v>
      </c>
      <c r="V73" s="26">
        <v>-6.400182453725793</v>
      </c>
      <c r="W73" s="32">
        <v>1.5688108029570591E-6</v>
      </c>
      <c r="X73" s="26">
        <v>-31.132391694356826</v>
      </c>
      <c r="Y73" s="26">
        <v>-15.923163861198736</v>
      </c>
      <c r="Z73" s="26">
        <v>-31.132391694356826</v>
      </c>
      <c r="AA73" s="26">
        <v>-15.923163861198736</v>
      </c>
    </row>
    <row r="74" spans="19:27" x14ac:dyDescent="0.2">
      <c r="S74" s="26" t="s">
        <v>19</v>
      </c>
      <c r="T74" s="31">
        <v>-20.878472222222221</v>
      </c>
      <c r="U74" s="32">
        <v>3.6644488945796976</v>
      </c>
      <c r="V74" s="26">
        <v>-5.6975749486109084</v>
      </c>
      <c r="W74" s="32">
        <v>8.4131811625011761E-6</v>
      </c>
      <c r="X74" s="26">
        <v>-28.458962315986184</v>
      </c>
      <c r="Y74" s="26">
        <v>-13.297982128458258</v>
      </c>
      <c r="Z74" s="26">
        <v>-28.458962315986184</v>
      </c>
      <c r="AA74" s="26">
        <v>-13.297982128458258</v>
      </c>
    </row>
    <row r="75" spans="19:27" x14ac:dyDescent="0.2">
      <c r="S75" s="26" t="s">
        <v>20</v>
      </c>
      <c r="T75" s="31">
        <v>-67.895833333333343</v>
      </c>
      <c r="U75" s="32">
        <v>3.6543120870705885</v>
      </c>
      <c r="V75" s="26">
        <v>-18.579648293739677</v>
      </c>
      <c r="W75" s="32">
        <v>2.3937254265292167E-15</v>
      </c>
      <c r="X75" s="26">
        <v>-75.455353843098237</v>
      </c>
      <c r="Y75" s="26">
        <v>-60.336312823568448</v>
      </c>
      <c r="Z75" s="26">
        <v>-75.455353843098237</v>
      </c>
      <c r="AA75" s="26">
        <v>-60.336312823568448</v>
      </c>
    </row>
    <row r="76" spans="19:27" x14ac:dyDescent="0.2">
      <c r="S76" s="26" t="s">
        <v>21</v>
      </c>
      <c r="T76" s="31">
        <v>-62.5798611111111</v>
      </c>
      <c r="U76" s="32">
        <v>3.6457127740591484</v>
      </c>
      <c r="V76" s="26">
        <v>-17.165329522499515</v>
      </c>
      <c r="W76" s="32">
        <v>1.3146587497069986E-14</v>
      </c>
      <c r="X76" s="26">
        <v>-70.1215925865705</v>
      </c>
      <c r="Y76" s="26">
        <v>-55.0381296356517</v>
      </c>
      <c r="Z76" s="26">
        <v>-70.1215925865705</v>
      </c>
      <c r="AA76" s="26">
        <v>-55.0381296356517</v>
      </c>
    </row>
    <row r="77" spans="19:27" x14ac:dyDescent="0.2">
      <c r="S77" s="26" t="s">
        <v>22</v>
      </c>
      <c r="T77" s="31">
        <v>-57.263888888888893</v>
      </c>
      <c r="U77" s="32">
        <v>3.638661856324374</v>
      </c>
      <c r="V77" s="26">
        <v>-15.737623101569133</v>
      </c>
      <c r="W77" s="32">
        <v>8.3329311978198504E-14</v>
      </c>
      <c r="X77" s="26">
        <v>-64.791034429715808</v>
      </c>
      <c r="Y77" s="26">
        <v>-49.736743348061971</v>
      </c>
      <c r="Z77" s="26">
        <v>-64.791034429715808</v>
      </c>
      <c r="AA77" s="26">
        <v>-49.736743348061971</v>
      </c>
    </row>
    <row r="78" spans="19:27" x14ac:dyDescent="0.2">
      <c r="S78" s="26" t="s">
        <v>23</v>
      </c>
      <c r="T78" s="31">
        <v>-101.28124999999997</v>
      </c>
      <c r="U78" s="32">
        <v>3.6331683488252846</v>
      </c>
      <c r="V78" s="26">
        <v>-27.87683924218577</v>
      </c>
      <c r="W78" s="32">
        <v>3.1316658346077679E-19</v>
      </c>
      <c r="X78" s="26">
        <v>-108.797031354731</v>
      </c>
      <c r="Y78" s="26">
        <v>-93.765468645268939</v>
      </c>
      <c r="Z78" s="26">
        <v>-108.797031354731</v>
      </c>
      <c r="AA78" s="26">
        <v>-93.765468645268939</v>
      </c>
    </row>
    <row r="79" spans="19:27" x14ac:dyDescent="0.2">
      <c r="S79" s="26" t="s">
        <v>24</v>
      </c>
      <c r="T79" s="31">
        <v>-85.631944444444485</v>
      </c>
      <c r="U79" s="32">
        <v>3.6292393238316194</v>
      </c>
      <c r="V79" s="26">
        <v>-23.595011737621476</v>
      </c>
      <c r="W79" s="32">
        <v>1.2801271292340549E-17</v>
      </c>
      <c r="X79" s="26">
        <v>-93.139597991720848</v>
      </c>
      <c r="Y79" s="26">
        <v>-78.124290897168123</v>
      </c>
      <c r="Z79" s="26">
        <v>-93.139597991720848</v>
      </c>
      <c r="AA79" s="26">
        <v>-78.124290897168123</v>
      </c>
    </row>
    <row r="80" spans="19:27" ht="17" thickBot="1" x14ac:dyDescent="0.25">
      <c r="S80" s="29" t="s">
        <v>25</v>
      </c>
      <c r="T80" s="33">
        <v>-58.649305555555593</v>
      </c>
      <c r="U80" s="34">
        <v>3.6268798657923242</v>
      </c>
      <c r="V80" s="29">
        <v>-16.170732895985548</v>
      </c>
      <c r="W80" s="34">
        <v>4.6903018512724601E-14</v>
      </c>
      <c r="X80" s="29">
        <v>-66.152078192002506</v>
      </c>
      <c r="Y80" s="29">
        <v>-51.146532919108679</v>
      </c>
      <c r="Z80" s="29">
        <v>-66.152078192002506</v>
      </c>
      <c r="AA80" s="29">
        <v>-51.146532919108679</v>
      </c>
    </row>
    <row r="82" spans="7:19" x14ac:dyDescent="0.2">
      <c r="S82" s="35" t="s">
        <v>50</v>
      </c>
    </row>
    <row r="88" spans="7:19" x14ac:dyDescent="0.2">
      <c r="G88"/>
      <c r="H88"/>
      <c r="I88"/>
      <c r="J88"/>
      <c r="K88"/>
      <c r="L88"/>
      <c r="M88"/>
      <c r="N88"/>
      <c r="O88"/>
    </row>
    <row r="89" spans="7:19" x14ac:dyDescent="0.2">
      <c r="G89"/>
      <c r="H89"/>
      <c r="I89"/>
      <c r="J89"/>
      <c r="K89"/>
      <c r="L89"/>
      <c r="M89"/>
      <c r="N89"/>
      <c r="O89"/>
    </row>
    <row r="90" spans="7:19" x14ac:dyDescent="0.2">
      <c r="G90"/>
      <c r="H90"/>
      <c r="I90"/>
      <c r="J90"/>
      <c r="K90"/>
      <c r="L90"/>
      <c r="M90"/>
      <c r="N90"/>
      <c r="O90"/>
    </row>
    <row r="91" spans="7:19" x14ac:dyDescent="0.2">
      <c r="G91"/>
      <c r="H91"/>
      <c r="I91"/>
      <c r="J91"/>
      <c r="K91"/>
      <c r="L91"/>
      <c r="M91"/>
      <c r="N91"/>
      <c r="O91"/>
    </row>
    <row r="92" spans="7:19" x14ac:dyDescent="0.2">
      <c r="G92"/>
      <c r="H92"/>
      <c r="I92"/>
      <c r="J92"/>
      <c r="K92"/>
      <c r="L92"/>
      <c r="M92"/>
      <c r="N92"/>
      <c r="O92"/>
    </row>
    <row r="93" spans="7:19" x14ac:dyDescent="0.2">
      <c r="G93"/>
      <c r="H93"/>
      <c r="I93"/>
      <c r="J93"/>
      <c r="K93"/>
      <c r="L93"/>
      <c r="M93"/>
      <c r="N93"/>
      <c r="O93"/>
    </row>
    <row r="94" spans="7:19" x14ac:dyDescent="0.2">
      <c r="G94"/>
      <c r="H94"/>
      <c r="I94"/>
      <c r="J94"/>
      <c r="K94"/>
      <c r="L94"/>
      <c r="M94"/>
      <c r="N94"/>
      <c r="O94"/>
    </row>
    <row r="95" spans="7:19" x14ac:dyDescent="0.2">
      <c r="G95"/>
      <c r="H95"/>
      <c r="I95"/>
      <c r="J95"/>
      <c r="K95"/>
      <c r="L95"/>
      <c r="M95"/>
      <c r="N95"/>
      <c r="O95"/>
    </row>
    <row r="96" spans="7:19" x14ac:dyDescent="0.2">
      <c r="G96"/>
      <c r="H96"/>
      <c r="I96"/>
      <c r="J96"/>
      <c r="K96"/>
      <c r="L96"/>
      <c r="M96"/>
      <c r="N96"/>
      <c r="O96"/>
    </row>
    <row r="97" spans="7:15" x14ac:dyDescent="0.2">
      <c r="G97"/>
      <c r="H97"/>
      <c r="I97"/>
      <c r="J97"/>
      <c r="K97"/>
      <c r="L97"/>
      <c r="M97"/>
      <c r="N97"/>
      <c r="O97"/>
    </row>
    <row r="98" spans="7:15" x14ac:dyDescent="0.2">
      <c r="G98"/>
      <c r="H98"/>
      <c r="I98"/>
      <c r="J98"/>
      <c r="K98"/>
      <c r="L98"/>
      <c r="M98"/>
      <c r="N98"/>
      <c r="O98"/>
    </row>
    <row r="99" spans="7:15" x14ac:dyDescent="0.2">
      <c r="G99"/>
      <c r="H99"/>
      <c r="I99"/>
      <c r="J99"/>
      <c r="K99"/>
      <c r="L99"/>
      <c r="M99"/>
      <c r="N99"/>
      <c r="O99"/>
    </row>
  </sheetData>
  <mergeCells count="1">
    <mergeCell ref="A28:P42"/>
  </mergeCells>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8"/>
  <sheetViews>
    <sheetView zoomScale="119" workbookViewId="0">
      <selection activeCell="K60" sqref="K60"/>
    </sheetView>
  </sheetViews>
  <sheetFormatPr baseColWidth="10" defaultColWidth="8.83203125" defaultRowHeight="16" x14ac:dyDescent="0.2"/>
  <cols>
    <col min="1" max="1" width="9" bestFit="1" customWidth="1"/>
    <col min="2" max="2" width="12.6640625" bestFit="1" customWidth="1"/>
    <col min="3" max="3" width="9.1640625" bestFit="1" customWidth="1"/>
    <col min="4" max="4" width="10.33203125" bestFit="1" customWidth="1"/>
    <col min="5" max="5" width="9.83203125" bestFit="1" customWidth="1"/>
    <col min="6" max="14" width="9.1640625" customWidth="1"/>
    <col min="15" max="15" width="9.83203125" customWidth="1"/>
    <col min="16" max="16" width="3.5" customWidth="1"/>
    <col min="17" max="17" width="10.6640625" customWidth="1"/>
    <col min="18" max="18" width="9.1640625" bestFit="1" customWidth="1"/>
    <col min="19" max="19" width="11.1640625" bestFit="1" customWidth="1"/>
    <col min="20" max="20" width="9.1640625" bestFit="1" customWidth="1"/>
    <col min="21" max="21" width="12.6640625" bestFit="1" customWidth="1"/>
    <col min="22" max="22" width="14.33203125" customWidth="1"/>
    <col min="23" max="25" width="9" bestFit="1" customWidth="1"/>
  </cols>
  <sheetData>
    <row r="1" spans="1:25" x14ac:dyDescent="0.2">
      <c r="A1" s="3" t="s">
        <v>13</v>
      </c>
      <c r="B1" s="3" t="s">
        <v>12</v>
      </c>
      <c r="C1" s="1" t="s">
        <v>61</v>
      </c>
      <c r="D1" s="1" t="s">
        <v>58</v>
      </c>
      <c r="E1" s="3" t="s">
        <v>15</v>
      </c>
      <c r="F1" s="3" t="s">
        <v>16</v>
      </c>
      <c r="G1" s="3" t="s">
        <v>17</v>
      </c>
      <c r="H1" s="3" t="s">
        <v>18</v>
      </c>
      <c r="I1" s="3" t="s">
        <v>19</v>
      </c>
      <c r="J1" s="3" t="s">
        <v>20</v>
      </c>
      <c r="K1" s="3" t="s">
        <v>21</v>
      </c>
      <c r="L1" s="3" t="s">
        <v>22</v>
      </c>
      <c r="M1" s="3" t="s">
        <v>23</v>
      </c>
      <c r="N1" s="3" t="s">
        <v>24</v>
      </c>
      <c r="O1" s="3" t="s">
        <v>25</v>
      </c>
      <c r="Q1" t="s">
        <v>26</v>
      </c>
    </row>
    <row r="2" spans="1:25" ht="17" thickBot="1" x14ac:dyDescent="0.25">
      <c r="A2">
        <v>1</v>
      </c>
      <c r="B2" s="2" t="s">
        <v>0</v>
      </c>
      <c r="C2">
        <v>242</v>
      </c>
      <c r="D2">
        <v>1</v>
      </c>
      <c r="E2">
        <f>IF(B2="Jan",1,0)</f>
        <v>1</v>
      </c>
      <c r="F2">
        <f>IF(B2="Feb",1,0)</f>
        <v>0</v>
      </c>
      <c r="G2">
        <f>IF(B2="Mar",1,0)</f>
        <v>0</v>
      </c>
      <c r="H2">
        <f>IF(B2="Apr",1,0)</f>
        <v>0</v>
      </c>
      <c r="I2">
        <f>IF(B2="may",1,0)</f>
        <v>0</v>
      </c>
      <c r="J2">
        <f>IF(B2="Jun",1,0)</f>
        <v>0</v>
      </c>
      <c r="K2">
        <f>IF(B2="Jul",1,0)</f>
        <v>0</v>
      </c>
      <c r="L2">
        <f>IF(B2="Aug",1,0)</f>
        <v>0</v>
      </c>
      <c r="M2">
        <f>IF(B2="Sep",1,0)</f>
        <v>0</v>
      </c>
      <c r="N2">
        <f>IF(B2="Oct",1,0)</f>
        <v>0</v>
      </c>
      <c r="O2">
        <f>IF(B2="Nov",1,0)</f>
        <v>0</v>
      </c>
    </row>
    <row r="3" spans="1:25" x14ac:dyDescent="0.2">
      <c r="B3" s="2" t="s">
        <v>1</v>
      </c>
      <c r="C3">
        <v>235</v>
      </c>
      <c r="D3">
        <v>2</v>
      </c>
      <c r="E3">
        <f>IF(B3="Jan",1,0)</f>
        <v>0</v>
      </c>
      <c r="F3">
        <f>IF(B3="Feb",1,0)</f>
        <v>1</v>
      </c>
      <c r="G3">
        <f>IF(B3="Mar",1,0)</f>
        <v>0</v>
      </c>
      <c r="H3">
        <f>IF(B3="Apr",1,0)</f>
        <v>0</v>
      </c>
      <c r="I3">
        <f>IF(B3="may",1,0)</f>
        <v>0</v>
      </c>
      <c r="J3">
        <f>IF(B3="Jun",1,0)</f>
        <v>0</v>
      </c>
      <c r="K3">
        <f>IF(B3="Jul",1,0)</f>
        <v>0</v>
      </c>
      <c r="L3">
        <f>IF(B3="Aug",1,0)</f>
        <v>0</v>
      </c>
      <c r="M3">
        <f>IF(B3="Sep",1,0)</f>
        <v>0</v>
      </c>
      <c r="N3">
        <f>IF(B3="Oct",1,0)</f>
        <v>0</v>
      </c>
      <c r="O3">
        <f>IF(B3="Nov",1,0)</f>
        <v>0</v>
      </c>
      <c r="Q3" s="6" t="s">
        <v>27</v>
      </c>
      <c r="R3" s="6"/>
    </row>
    <row r="4" spans="1:25" x14ac:dyDescent="0.2">
      <c r="B4" s="2" t="s">
        <v>2</v>
      </c>
      <c r="C4">
        <v>232</v>
      </c>
      <c r="D4">
        <v>3</v>
      </c>
      <c r="E4">
        <f>IF(B4="Jan",1,0)</f>
        <v>0</v>
      </c>
      <c r="F4">
        <f>IF(B4="Feb",1,0)</f>
        <v>0</v>
      </c>
      <c r="G4">
        <f>IF(B4="Mar",1,0)</f>
        <v>1</v>
      </c>
      <c r="H4">
        <f>IF(B4="Apr",1,0)</f>
        <v>0</v>
      </c>
      <c r="I4">
        <f>IF(B4="may",1,0)</f>
        <v>0</v>
      </c>
      <c r="J4">
        <f>IF(B4="Jun",1,0)</f>
        <v>0</v>
      </c>
      <c r="K4">
        <f>IF(B4="Jul",1,0)</f>
        <v>0</v>
      </c>
      <c r="L4">
        <f>IF(B4="Aug",1,0)</f>
        <v>0</v>
      </c>
      <c r="M4">
        <f>IF(B4="Sep",1,0)</f>
        <v>0</v>
      </c>
      <c r="N4">
        <f>IF(B4="Oct",1,0)</f>
        <v>0</v>
      </c>
      <c r="O4">
        <f>IF(B4="Nov",1,0)</f>
        <v>0</v>
      </c>
      <c r="Q4" t="s">
        <v>28</v>
      </c>
      <c r="R4">
        <v>0.99708229958431915</v>
      </c>
    </row>
    <row r="5" spans="1:25" x14ac:dyDescent="0.2">
      <c r="B5" s="2" t="s">
        <v>3</v>
      </c>
      <c r="C5">
        <v>178</v>
      </c>
      <c r="D5">
        <v>4</v>
      </c>
      <c r="E5">
        <f>IF(B5="Jan",1,0)</f>
        <v>0</v>
      </c>
      <c r="F5">
        <f>IF(B5="Feb",1,0)</f>
        <v>0</v>
      </c>
      <c r="G5">
        <f>IF(B5="Mar",1,0)</f>
        <v>0</v>
      </c>
      <c r="H5">
        <f>IF(B5="Apr",1,0)</f>
        <v>1</v>
      </c>
      <c r="I5">
        <f>IF(B5="may",1,0)</f>
        <v>0</v>
      </c>
      <c r="J5">
        <f>IF(B5="Jun",1,0)</f>
        <v>0</v>
      </c>
      <c r="K5">
        <f>IF(B5="Jul",1,0)</f>
        <v>0</v>
      </c>
      <c r="L5">
        <f>IF(B5="Aug",1,0)</f>
        <v>0</v>
      </c>
      <c r="M5">
        <f>IF(B5="Sep",1,0)</f>
        <v>0</v>
      </c>
      <c r="N5">
        <f>IF(B5="Oct",1,0)</f>
        <v>0</v>
      </c>
      <c r="O5">
        <f>IF(B5="Nov",1,0)</f>
        <v>0</v>
      </c>
      <c r="Q5" t="s">
        <v>29</v>
      </c>
      <c r="R5">
        <v>0.994173112144354</v>
      </c>
    </row>
    <row r="6" spans="1:25" x14ac:dyDescent="0.2">
      <c r="B6" s="2" t="s">
        <v>4</v>
      </c>
      <c r="C6">
        <v>184</v>
      </c>
      <c r="D6">
        <v>5</v>
      </c>
      <c r="E6">
        <f>IF(B6="Jan",1,0)</f>
        <v>0</v>
      </c>
      <c r="F6">
        <f>IF(B6="Feb",1,0)</f>
        <v>0</v>
      </c>
      <c r="G6">
        <f>IF(B6="Mar",1,0)</f>
        <v>0</v>
      </c>
      <c r="H6">
        <f>IF(B6="Apr",1,0)</f>
        <v>0</v>
      </c>
      <c r="I6">
        <f>IF(B6="may",1,0)</f>
        <v>1</v>
      </c>
      <c r="J6">
        <f>IF(B6="Jun",1,0)</f>
        <v>0</v>
      </c>
      <c r="K6">
        <f>IF(B6="Jul",1,0)</f>
        <v>0</v>
      </c>
      <c r="L6">
        <f>IF(B6="Aug",1,0)</f>
        <v>0</v>
      </c>
      <c r="M6">
        <f>IF(B6="Sep",1,0)</f>
        <v>0</v>
      </c>
      <c r="N6">
        <f>IF(B6="Oct",1,0)</f>
        <v>0</v>
      </c>
      <c r="O6">
        <f>IF(B6="Nov",1,0)</f>
        <v>0</v>
      </c>
      <c r="Q6" t="s">
        <v>30</v>
      </c>
      <c r="R6">
        <v>0.9911329967414082</v>
      </c>
    </row>
    <row r="7" spans="1:25" x14ac:dyDescent="0.2">
      <c r="B7" s="2" t="s">
        <v>5</v>
      </c>
      <c r="C7">
        <v>140</v>
      </c>
      <c r="D7">
        <v>6</v>
      </c>
      <c r="E7">
        <f>IF(B7="Jan",1,0)</f>
        <v>0</v>
      </c>
      <c r="F7">
        <f>IF(B7="Feb",1,0)</f>
        <v>0</v>
      </c>
      <c r="G7">
        <f>IF(B7="Mar",1,0)</f>
        <v>0</v>
      </c>
      <c r="H7">
        <f>IF(B7="Apr",1,0)</f>
        <v>0</v>
      </c>
      <c r="I7">
        <f>IF(B7="may",1,0)</f>
        <v>0</v>
      </c>
      <c r="J7">
        <f>IF(B7="Jun",1,0)</f>
        <v>1</v>
      </c>
      <c r="K7">
        <f>IF(B7="Jul",1,0)</f>
        <v>0</v>
      </c>
      <c r="L7">
        <f>IF(B7="Aug",1,0)</f>
        <v>0</v>
      </c>
      <c r="M7">
        <f>IF(B7="Sep",1,0)</f>
        <v>0</v>
      </c>
      <c r="N7">
        <f>IF(B7="Oct",1,0)</f>
        <v>0</v>
      </c>
      <c r="O7">
        <f>IF(B7="Nov",1,0)</f>
        <v>0</v>
      </c>
      <c r="Q7" t="s">
        <v>31</v>
      </c>
      <c r="R7">
        <v>4.4410388522232722</v>
      </c>
    </row>
    <row r="8" spans="1:25" ht="17" thickBot="1" x14ac:dyDescent="0.25">
      <c r="B8" s="2" t="s">
        <v>6</v>
      </c>
      <c r="C8">
        <v>145</v>
      </c>
      <c r="D8">
        <v>7</v>
      </c>
      <c r="E8">
        <f>IF(B8="Jan",1,0)</f>
        <v>0</v>
      </c>
      <c r="F8">
        <f>IF(B8="Feb",1,0)</f>
        <v>0</v>
      </c>
      <c r="G8">
        <f>IF(B8="Mar",1,0)</f>
        <v>0</v>
      </c>
      <c r="H8">
        <f>IF(B8="Apr",1,0)</f>
        <v>0</v>
      </c>
      <c r="I8">
        <f>IF(B8="may",1,0)</f>
        <v>0</v>
      </c>
      <c r="J8">
        <f>IF(B8="Jun",1,0)</f>
        <v>0</v>
      </c>
      <c r="K8">
        <f>IF(B8="Jul",1,0)</f>
        <v>1</v>
      </c>
      <c r="L8">
        <f>IF(B8="Aug",1,0)</f>
        <v>0</v>
      </c>
      <c r="M8">
        <f>IF(B8="Sep",1,0)</f>
        <v>0</v>
      </c>
      <c r="N8">
        <f>IF(B8="Oct",1,0)</f>
        <v>0</v>
      </c>
      <c r="O8">
        <f>IF(B8="Nov",1,0)</f>
        <v>0</v>
      </c>
      <c r="Q8" s="4" t="s">
        <v>32</v>
      </c>
      <c r="R8" s="4">
        <v>36</v>
      </c>
    </row>
    <row r="9" spans="1:25" x14ac:dyDescent="0.2">
      <c r="B9" s="2" t="s">
        <v>7</v>
      </c>
      <c r="C9">
        <v>152</v>
      </c>
      <c r="D9">
        <v>8</v>
      </c>
      <c r="E9">
        <f>IF(B9="Jan",1,0)</f>
        <v>0</v>
      </c>
      <c r="F9">
        <f>IF(B9="Feb",1,0)</f>
        <v>0</v>
      </c>
      <c r="G9">
        <f>IF(B9="Mar",1,0)</f>
        <v>0</v>
      </c>
      <c r="H9">
        <f>IF(B9="Apr",1,0)</f>
        <v>0</v>
      </c>
      <c r="I9">
        <f>IF(B9="may",1,0)</f>
        <v>0</v>
      </c>
      <c r="J9">
        <f>IF(B9="Jun",1,0)</f>
        <v>0</v>
      </c>
      <c r="K9">
        <f>IF(B9="Jul",1,0)</f>
        <v>0</v>
      </c>
      <c r="L9">
        <f>IF(B9="Aug",1,0)</f>
        <v>1</v>
      </c>
      <c r="M9">
        <f>IF(B9="Sep",1,0)</f>
        <v>0</v>
      </c>
      <c r="N9">
        <f>IF(B9="Oct",1,0)</f>
        <v>0</v>
      </c>
      <c r="O9">
        <f>IF(B9="Nov",1,0)</f>
        <v>0</v>
      </c>
    </row>
    <row r="10" spans="1:25" ht="17" thickBot="1" x14ac:dyDescent="0.25">
      <c r="B10" s="2" t="s">
        <v>8</v>
      </c>
      <c r="C10">
        <v>110</v>
      </c>
      <c r="D10">
        <v>9</v>
      </c>
      <c r="E10">
        <f>IF(B10="Jan",1,0)</f>
        <v>0</v>
      </c>
      <c r="F10">
        <f>IF(B10="Feb",1,0)</f>
        <v>0</v>
      </c>
      <c r="G10">
        <f>IF(B10="Mar",1,0)</f>
        <v>0</v>
      </c>
      <c r="H10">
        <f>IF(B10="Apr",1,0)</f>
        <v>0</v>
      </c>
      <c r="I10">
        <f>IF(B10="may",1,0)</f>
        <v>0</v>
      </c>
      <c r="J10">
        <f>IF(B10="Jun",1,0)</f>
        <v>0</v>
      </c>
      <c r="K10">
        <f>IF(B10="Jul",1,0)</f>
        <v>0</v>
      </c>
      <c r="L10">
        <f>IF(B10="Aug",1,0)</f>
        <v>0</v>
      </c>
      <c r="M10">
        <f>IF(B10="Sep",1,0)</f>
        <v>1</v>
      </c>
      <c r="N10">
        <f>IF(B10="Oct",1,0)</f>
        <v>0</v>
      </c>
      <c r="O10">
        <f>IF(B10="Nov",1,0)</f>
        <v>0</v>
      </c>
      <c r="Q10" t="s">
        <v>33</v>
      </c>
    </row>
    <row r="11" spans="1:25" x14ac:dyDescent="0.2">
      <c r="B11" s="2" t="s">
        <v>9</v>
      </c>
      <c r="C11">
        <v>130</v>
      </c>
      <c r="D11">
        <v>10</v>
      </c>
      <c r="E11">
        <f>IF(B11="Jan",1,0)</f>
        <v>0</v>
      </c>
      <c r="F11">
        <f>IF(B11="Feb",1,0)</f>
        <v>0</v>
      </c>
      <c r="G11">
        <f>IF(B11="Mar",1,0)</f>
        <v>0</v>
      </c>
      <c r="H11">
        <f>IF(B11="Apr",1,0)</f>
        <v>0</v>
      </c>
      <c r="I11">
        <f>IF(B11="may",1,0)</f>
        <v>0</v>
      </c>
      <c r="J11">
        <f>IF(B11="Jun",1,0)</f>
        <v>0</v>
      </c>
      <c r="K11">
        <f>IF(B11="Jul",1,0)</f>
        <v>0</v>
      </c>
      <c r="L11">
        <f>IF(B11="Aug",1,0)</f>
        <v>0</v>
      </c>
      <c r="M11">
        <f>IF(B11="Sep",1,0)</f>
        <v>0</v>
      </c>
      <c r="N11">
        <f>IF(B11="Oct",1,0)</f>
        <v>1</v>
      </c>
      <c r="O11">
        <f>IF(B11="Nov",1,0)</f>
        <v>0</v>
      </c>
      <c r="Q11" s="5"/>
      <c r="R11" s="5" t="s">
        <v>38</v>
      </c>
      <c r="S11" s="5" t="s">
        <v>39</v>
      </c>
      <c r="T11" s="5" t="s">
        <v>40</v>
      </c>
      <c r="U11" s="5" t="s">
        <v>41</v>
      </c>
      <c r="V11" s="5" t="s">
        <v>42</v>
      </c>
    </row>
    <row r="12" spans="1:25" x14ac:dyDescent="0.2">
      <c r="B12" s="2" t="s">
        <v>10</v>
      </c>
      <c r="C12">
        <v>152</v>
      </c>
      <c r="D12">
        <v>11</v>
      </c>
      <c r="E12">
        <f>IF(B12="Jan",1,0)</f>
        <v>0</v>
      </c>
      <c r="F12">
        <f>IF(B12="Feb",1,0)</f>
        <v>0</v>
      </c>
      <c r="G12">
        <f>IF(B12="Mar",1,0)</f>
        <v>0</v>
      </c>
      <c r="H12">
        <f>IF(B12="Apr",1,0)</f>
        <v>0</v>
      </c>
      <c r="I12">
        <f>IF(B12="may",1,0)</f>
        <v>0</v>
      </c>
      <c r="J12">
        <f>IF(B12="Jun",1,0)</f>
        <v>0</v>
      </c>
      <c r="K12">
        <f>IF(B12="Jul",1,0)</f>
        <v>0</v>
      </c>
      <c r="L12">
        <f>IF(B12="Aug",1,0)</f>
        <v>0</v>
      </c>
      <c r="M12">
        <f>IF(B12="Sep",1,0)</f>
        <v>0</v>
      </c>
      <c r="N12">
        <f>IF(B12="Oct",1,0)</f>
        <v>0</v>
      </c>
      <c r="O12">
        <f>IF(B12="Nov",1,0)</f>
        <v>1</v>
      </c>
      <c r="Q12" t="s">
        <v>34</v>
      </c>
      <c r="R12">
        <v>12</v>
      </c>
      <c r="S12">
        <v>77396.680555555547</v>
      </c>
      <c r="T12">
        <v>6449.7233796296287</v>
      </c>
      <c r="U12">
        <v>327.01821489441915</v>
      </c>
      <c r="V12">
        <v>1.0188179189817924E-22</v>
      </c>
    </row>
    <row r="13" spans="1:25" x14ac:dyDescent="0.2">
      <c r="B13" s="2" t="s">
        <v>11</v>
      </c>
      <c r="C13">
        <v>206</v>
      </c>
      <c r="D13">
        <v>12</v>
      </c>
      <c r="E13">
        <f>IF(B13="Jan",1,0)</f>
        <v>0</v>
      </c>
      <c r="F13">
        <f>IF(B13="Feb",1,0)</f>
        <v>0</v>
      </c>
      <c r="G13">
        <f>IF(B13="Mar",1,0)</f>
        <v>0</v>
      </c>
      <c r="H13">
        <f>IF(B13="Apr",1,0)</f>
        <v>0</v>
      </c>
      <c r="I13">
        <f>IF(B13="may",1,0)</f>
        <v>0</v>
      </c>
      <c r="J13">
        <f>IF(B13="Jun",1,0)</f>
        <v>0</v>
      </c>
      <c r="K13">
        <f>IF(B13="Jul",1,0)</f>
        <v>0</v>
      </c>
      <c r="L13">
        <f>IF(B13="Aug",1,0)</f>
        <v>0</v>
      </c>
      <c r="M13">
        <f>IF(B13="Sep",1,0)</f>
        <v>0</v>
      </c>
      <c r="N13">
        <f>IF(B13="Oct",1,0)</f>
        <v>0</v>
      </c>
      <c r="O13">
        <f>IF(B13="Nov",1,0)</f>
        <v>0</v>
      </c>
      <c r="Q13" t="s">
        <v>35</v>
      </c>
      <c r="R13">
        <v>23</v>
      </c>
      <c r="S13">
        <v>453.62500000000176</v>
      </c>
      <c r="T13">
        <v>19.722826086956598</v>
      </c>
    </row>
    <row r="14" spans="1:25" ht="17" thickBot="1" x14ac:dyDescent="0.25">
      <c r="A14">
        <v>2</v>
      </c>
      <c r="B14" s="2" t="s">
        <v>0</v>
      </c>
      <c r="C14">
        <v>263</v>
      </c>
      <c r="D14">
        <v>13</v>
      </c>
      <c r="E14">
        <f>IF(B14="Jan",1,0)</f>
        <v>1</v>
      </c>
      <c r="F14">
        <f>IF(B14="Feb",1,0)</f>
        <v>0</v>
      </c>
      <c r="G14">
        <f>IF(B14="Mar",1,0)</f>
        <v>0</v>
      </c>
      <c r="H14">
        <f>IF(B14="Apr",1,0)</f>
        <v>0</v>
      </c>
      <c r="I14">
        <f>IF(B14="may",1,0)</f>
        <v>0</v>
      </c>
      <c r="J14">
        <f>IF(B14="Jun",1,0)</f>
        <v>0</v>
      </c>
      <c r="K14">
        <f>IF(B14="Jul",1,0)</f>
        <v>0</v>
      </c>
      <c r="L14">
        <f>IF(B14="Aug",1,0)</f>
        <v>0</v>
      </c>
      <c r="M14">
        <f>IF(B14="Sep",1,0)</f>
        <v>0</v>
      </c>
      <c r="N14">
        <f>IF(B14="Oct",1,0)</f>
        <v>0</v>
      </c>
      <c r="O14">
        <f>IF(B14="Nov",1,0)</f>
        <v>0</v>
      </c>
      <c r="Q14" s="4" t="s">
        <v>36</v>
      </c>
      <c r="R14" s="4">
        <v>35</v>
      </c>
      <c r="S14" s="4">
        <v>77850.305555555547</v>
      </c>
      <c r="T14" s="4"/>
      <c r="U14" s="4"/>
      <c r="V14" s="4"/>
    </row>
    <row r="15" spans="1:25" ht="17" thickBot="1" x14ac:dyDescent="0.25">
      <c r="B15" s="2" t="s">
        <v>1</v>
      </c>
      <c r="C15">
        <v>238</v>
      </c>
      <c r="D15">
        <v>14</v>
      </c>
      <c r="E15">
        <f>IF(B15="Jan",1,0)</f>
        <v>0</v>
      </c>
      <c r="F15">
        <f>IF(B15="Feb",1,0)</f>
        <v>1</v>
      </c>
      <c r="G15">
        <f>IF(B15="Mar",1,0)</f>
        <v>0</v>
      </c>
      <c r="H15">
        <f>IF(B15="Apr",1,0)</f>
        <v>0</v>
      </c>
      <c r="I15">
        <f>IF(B15="may",1,0)</f>
        <v>0</v>
      </c>
      <c r="J15">
        <f>IF(B15="Jun",1,0)</f>
        <v>0</v>
      </c>
      <c r="K15">
        <f>IF(B15="Jul",1,0)</f>
        <v>0</v>
      </c>
      <c r="L15">
        <f>IF(B15="Aug",1,0)</f>
        <v>0</v>
      </c>
      <c r="M15">
        <f>IF(B15="Sep",1,0)</f>
        <v>0</v>
      </c>
      <c r="N15">
        <f>IF(B15="Oct",1,0)</f>
        <v>0</v>
      </c>
      <c r="O15">
        <f>IF(B15="Nov",1,0)</f>
        <v>0</v>
      </c>
    </row>
    <row r="16" spans="1:25" x14ac:dyDescent="0.2">
      <c r="B16" s="2" t="s">
        <v>2</v>
      </c>
      <c r="C16">
        <v>247</v>
      </c>
      <c r="D16">
        <v>15</v>
      </c>
      <c r="E16">
        <f>IF(B16="Jan",1,0)</f>
        <v>0</v>
      </c>
      <c r="F16">
        <f>IF(B16="Feb",1,0)</f>
        <v>0</v>
      </c>
      <c r="G16">
        <f>IF(B16="Mar",1,0)</f>
        <v>1</v>
      </c>
      <c r="H16">
        <f>IF(B16="Apr",1,0)</f>
        <v>0</v>
      </c>
      <c r="I16">
        <f>IF(B16="may",1,0)</f>
        <v>0</v>
      </c>
      <c r="J16">
        <f>IF(B16="Jun",1,0)</f>
        <v>0</v>
      </c>
      <c r="K16">
        <f>IF(B16="Jul",1,0)</f>
        <v>0</v>
      </c>
      <c r="L16">
        <f>IF(B16="Aug",1,0)</f>
        <v>0</v>
      </c>
      <c r="M16">
        <f>IF(B16="Sep",1,0)</f>
        <v>0</v>
      </c>
      <c r="N16">
        <f>IF(B16="Oct",1,0)</f>
        <v>0</v>
      </c>
      <c r="O16">
        <f>IF(B16="Nov",1,0)</f>
        <v>0</v>
      </c>
      <c r="Q16" s="5"/>
      <c r="R16" s="5" t="s">
        <v>43</v>
      </c>
      <c r="S16" s="5" t="s">
        <v>31</v>
      </c>
      <c r="T16" s="5" t="s">
        <v>44</v>
      </c>
      <c r="U16" s="5" t="s">
        <v>45</v>
      </c>
      <c r="V16" s="5" t="s">
        <v>46</v>
      </c>
      <c r="W16" s="5" t="s">
        <v>47</v>
      </c>
      <c r="X16" s="5" t="s">
        <v>48</v>
      </c>
      <c r="Y16" s="5" t="s">
        <v>49</v>
      </c>
    </row>
    <row r="17" spans="1:25" x14ac:dyDescent="0.2">
      <c r="B17" s="2" t="s">
        <v>3</v>
      </c>
      <c r="C17">
        <v>193</v>
      </c>
      <c r="D17">
        <v>16</v>
      </c>
      <c r="E17">
        <f>IF(B17="Jan",1,0)</f>
        <v>0</v>
      </c>
      <c r="F17">
        <f>IF(B17="Feb",1,0)</f>
        <v>0</v>
      </c>
      <c r="G17">
        <f>IF(B17="Mar",1,0)</f>
        <v>0</v>
      </c>
      <c r="H17">
        <f>IF(B17="Apr",1,0)</f>
        <v>1</v>
      </c>
      <c r="I17">
        <f>IF(B17="may",1,0)</f>
        <v>0</v>
      </c>
      <c r="J17">
        <f>IF(B17="Jun",1,0)</f>
        <v>0</v>
      </c>
      <c r="K17">
        <f>IF(B17="Jul",1,0)</f>
        <v>0</v>
      </c>
      <c r="L17">
        <f>IF(B17="Aug",1,0)</f>
        <v>0</v>
      </c>
      <c r="M17">
        <f>IF(B17="Sep",1,0)</f>
        <v>0</v>
      </c>
      <c r="N17">
        <f>IF(B17="Oct",1,0)</f>
        <v>0</v>
      </c>
      <c r="O17">
        <f>IF(B17="Nov",1,0)</f>
        <v>0</v>
      </c>
      <c r="Q17" t="s">
        <v>37</v>
      </c>
      <c r="R17" s="7">
        <v>199.24999999999997</v>
      </c>
      <c r="S17" s="10">
        <v>3.1402886879199983</v>
      </c>
      <c r="T17">
        <v>63.449580532665998</v>
      </c>
      <c r="U17" s="10">
        <v>2.4720172572003094E-27</v>
      </c>
      <c r="V17">
        <v>192.75381790682141</v>
      </c>
      <c r="W17">
        <v>205.74618209317853</v>
      </c>
      <c r="X17">
        <v>192.75381790682141</v>
      </c>
      <c r="Y17">
        <v>205.74618209317853</v>
      </c>
    </row>
    <row r="18" spans="1:25" x14ac:dyDescent="0.2">
      <c r="B18" s="2" t="s">
        <v>4</v>
      </c>
      <c r="C18">
        <v>193</v>
      </c>
      <c r="D18">
        <v>17</v>
      </c>
      <c r="E18">
        <f>IF(B18="Jan",1,0)</f>
        <v>0</v>
      </c>
      <c r="F18">
        <f>IF(B18="Feb",1,0)</f>
        <v>0</v>
      </c>
      <c r="G18">
        <f>IF(B18="Mar",1,0)</f>
        <v>0</v>
      </c>
      <c r="H18">
        <f>IF(B18="Apr",1,0)</f>
        <v>0</v>
      </c>
      <c r="I18">
        <f>IF(B18="may",1,0)</f>
        <v>1</v>
      </c>
      <c r="J18">
        <f>IF(B18="Jun",1,0)</f>
        <v>0</v>
      </c>
      <c r="K18">
        <f>IF(B18="Jul",1,0)</f>
        <v>0</v>
      </c>
      <c r="L18">
        <f>IF(B18="Aug",1,0)</f>
        <v>0</v>
      </c>
      <c r="M18">
        <f>IF(B18="Sep",1,0)</f>
        <v>0</v>
      </c>
      <c r="N18">
        <f>IF(B18="Oct",1,0)</f>
        <v>0</v>
      </c>
      <c r="O18">
        <f>IF(B18="Nov",1,0)</f>
        <v>0</v>
      </c>
      <c r="Q18" t="s">
        <v>14</v>
      </c>
      <c r="R18" s="7">
        <v>1.0173611111111118</v>
      </c>
      <c r="S18" s="10">
        <v>7.5543604970989484E-2</v>
      </c>
      <c r="T18">
        <v>13.467203630298055</v>
      </c>
      <c r="U18" s="10">
        <v>2.1393730127150388E-12</v>
      </c>
      <c r="V18">
        <v>0.86108725776938411</v>
      </c>
      <c r="W18">
        <v>1.1736349644528394</v>
      </c>
      <c r="X18">
        <v>0.86108725776938411</v>
      </c>
      <c r="Y18">
        <v>1.1736349644528394</v>
      </c>
    </row>
    <row r="19" spans="1:25" x14ac:dyDescent="0.2">
      <c r="B19" s="2" t="s">
        <v>5</v>
      </c>
      <c r="C19">
        <v>149</v>
      </c>
      <c r="D19">
        <v>18</v>
      </c>
      <c r="E19">
        <f>IF(B19="Jan",1,0)</f>
        <v>0</v>
      </c>
      <c r="F19">
        <f>IF(B19="Feb",1,0)</f>
        <v>0</v>
      </c>
      <c r="G19">
        <f>IF(B19="Mar",1,0)</f>
        <v>0</v>
      </c>
      <c r="H19">
        <f>IF(B19="Apr",1,0)</f>
        <v>0</v>
      </c>
      <c r="I19">
        <f>IF(B19="may",1,0)</f>
        <v>0</v>
      </c>
      <c r="J19">
        <f>IF(B19="Jun",1,0)</f>
        <v>1</v>
      </c>
      <c r="K19">
        <f>IF(B19="Jul",1,0)</f>
        <v>0</v>
      </c>
      <c r="L19">
        <f>IF(B19="Aug",1,0)</f>
        <v>0</v>
      </c>
      <c r="M19">
        <f>IF(B19="Sep",1,0)</f>
        <v>0</v>
      </c>
      <c r="N19">
        <f>IF(B19="Oct",1,0)</f>
        <v>0</v>
      </c>
      <c r="O19">
        <f>IF(B19="Nov",1,0)</f>
        <v>0</v>
      </c>
      <c r="Q19" t="s">
        <v>15</v>
      </c>
      <c r="R19" s="7">
        <v>49.857638888888843</v>
      </c>
      <c r="S19" s="10">
        <v>3.7200911159716612</v>
      </c>
      <c r="T19">
        <v>13.402262830292635</v>
      </c>
      <c r="U19" s="10">
        <v>2.3622686813614214E-12</v>
      </c>
      <c r="V19">
        <v>42.162044090381769</v>
      </c>
      <c r="W19">
        <v>57.553233687395917</v>
      </c>
      <c r="X19">
        <v>42.162044090381769</v>
      </c>
      <c r="Y19">
        <v>57.553233687395917</v>
      </c>
    </row>
    <row r="20" spans="1:25" x14ac:dyDescent="0.2">
      <c r="B20" s="2" t="s">
        <v>6</v>
      </c>
      <c r="C20">
        <v>157</v>
      </c>
      <c r="D20">
        <v>19</v>
      </c>
      <c r="E20">
        <f>IF(B20="Jan",1,0)</f>
        <v>0</v>
      </c>
      <c r="F20">
        <f>IF(B20="Feb",1,0)</f>
        <v>0</v>
      </c>
      <c r="G20">
        <f>IF(B20="Mar",1,0)</f>
        <v>0</v>
      </c>
      <c r="H20">
        <f>IF(B20="Apr",1,0)</f>
        <v>0</v>
      </c>
      <c r="I20">
        <f>IF(B20="may",1,0)</f>
        <v>0</v>
      </c>
      <c r="J20">
        <f>IF(B20="Jun",1,0)</f>
        <v>0</v>
      </c>
      <c r="K20">
        <f>IF(B20="Jul",1,0)</f>
        <v>1</v>
      </c>
      <c r="L20">
        <f>IF(B20="Aug",1,0)</f>
        <v>0</v>
      </c>
      <c r="M20">
        <f>IF(B20="Sep",1,0)</f>
        <v>0</v>
      </c>
      <c r="N20">
        <f>IF(B20="Oct",1,0)</f>
        <v>0</v>
      </c>
      <c r="O20">
        <f>IF(B20="Nov",1,0)</f>
        <v>0</v>
      </c>
      <c r="Q20" t="s">
        <v>16</v>
      </c>
      <c r="R20" s="7">
        <v>29.173611111111121</v>
      </c>
      <c r="S20" s="10">
        <v>3.7039484809914711</v>
      </c>
      <c r="T20">
        <v>7.8763544527762823</v>
      </c>
      <c r="U20" s="10">
        <v>5.5973376205363643E-8</v>
      </c>
      <c r="V20">
        <v>21.511409897308038</v>
      </c>
      <c r="W20">
        <v>36.835812324914201</v>
      </c>
      <c r="X20">
        <v>21.511409897308038</v>
      </c>
      <c r="Y20">
        <v>36.835812324914201</v>
      </c>
    </row>
    <row r="21" spans="1:25" x14ac:dyDescent="0.2">
      <c r="B21" s="2" t="s">
        <v>7</v>
      </c>
      <c r="C21">
        <v>161</v>
      </c>
      <c r="D21">
        <v>20</v>
      </c>
      <c r="E21">
        <f>IF(B21="Jan",1,0)</f>
        <v>0</v>
      </c>
      <c r="F21">
        <f>IF(B21="Feb",1,0)</f>
        <v>0</v>
      </c>
      <c r="G21">
        <f>IF(B21="Mar",1,0)</f>
        <v>0</v>
      </c>
      <c r="H21">
        <f>IF(B21="Apr",1,0)</f>
        <v>0</v>
      </c>
      <c r="I21">
        <f>IF(B21="may",1,0)</f>
        <v>0</v>
      </c>
      <c r="J21">
        <f>IF(B21="Jun",1,0)</f>
        <v>0</v>
      </c>
      <c r="K21">
        <f>IF(B21="Jul",1,0)</f>
        <v>0</v>
      </c>
      <c r="L21">
        <f>IF(B21="Aug",1,0)</f>
        <v>1</v>
      </c>
      <c r="M21">
        <f>IF(B21="Sep",1,0)</f>
        <v>0</v>
      </c>
      <c r="N21">
        <f>IF(B21="Oct",1,0)</f>
        <v>0</v>
      </c>
      <c r="O21">
        <f>IF(B21="Nov",1,0)</f>
        <v>0</v>
      </c>
      <c r="Q21" t="s">
        <v>17</v>
      </c>
      <c r="R21" s="7">
        <v>33.489583333333307</v>
      </c>
      <c r="S21" s="10">
        <v>3.6892823775160908</v>
      </c>
      <c r="T21">
        <v>9.0775332182301192</v>
      </c>
      <c r="U21" s="10">
        <v>4.5941874167709742E-9</v>
      </c>
      <c r="V21">
        <v>25.857721266099762</v>
      </c>
      <c r="W21">
        <v>41.121445400566849</v>
      </c>
      <c r="X21">
        <v>25.857721266099762</v>
      </c>
      <c r="Y21">
        <v>41.121445400566849</v>
      </c>
    </row>
    <row r="22" spans="1:25" x14ac:dyDescent="0.2">
      <c r="B22" s="2" t="s">
        <v>8</v>
      </c>
      <c r="C22">
        <v>122</v>
      </c>
      <c r="D22">
        <v>21</v>
      </c>
      <c r="E22">
        <f>IF(B22="Jan",1,0)</f>
        <v>0</v>
      </c>
      <c r="F22">
        <f>IF(B22="Feb",1,0)</f>
        <v>0</v>
      </c>
      <c r="G22">
        <f>IF(B22="Mar",1,0)</f>
        <v>0</v>
      </c>
      <c r="H22">
        <f>IF(B22="Apr",1,0)</f>
        <v>0</v>
      </c>
      <c r="I22">
        <f>IF(B22="may",1,0)</f>
        <v>0</v>
      </c>
      <c r="J22">
        <f>IF(B22="Jun",1,0)</f>
        <v>0</v>
      </c>
      <c r="K22">
        <f>IF(B22="Jul",1,0)</f>
        <v>0</v>
      </c>
      <c r="L22">
        <f>IF(B22="Aug",1,0)</f>
        <v>0</v>
      </c>
      <c r="M22">
        <f>IF(B22="Sep",1,0)</f>
        <v>1</v>
      </c>
      <c r="N22">
        <f>IF(B22="Oct",1,0)</f>
        <v>0</v>
      </c>
      <c r="O22">
        <f>IF(B22="Nov",1,0)</f>
        <v>0</v>
      </c>
      <c r="Q22" t="s">
        <v>18</v>
      </c>
      <c r="R22" s="7">
        <v>-23.527777777777782</v>
      </c>
      <c r="S22" s="10">
        <v>3.6761104777694822</v>
      </c>
      <c r="T22">
        <v>-6.400182453725793</v>
      </c>
      <c r="U22" s="10">
        <v>1.5688108029570591E-6</v>
      </c>
      <c r="V22">
        <v>-31.132391694356826</v>
      </c>
      <c r="W22">
        <v>-15.923163861198736</v>
      </c>
      <c r="X22">
        <v>-31.132391694356826</v>
      </c>
      <c r="Y22">
        <v>-15.923163861198736</v>
      </c>
    </row>
    <row r="23" spans="1:25" x14ac:dyDescent="0.2">
      <c r="B23" s="2" t="s">
        <v>9</v>
      </c>
      <c r="C23">
        <v>130</v>
      </c>
      <c r="D23">
        <v>22</v>
      </c>
      <c r="E23">
        <f>IF(B23="Jan",1,0)</f>
        <v>0</v>
      </c>
      <c r="F23">
        <f>IF(B23="Feb",1,0)</f>
        <v>0</v>
      </c>
      <c r="G23">
        <f>IF(B23="Mar",1,0)</f>
        <v>0</v>
      </c>
      <c r="H23">
        <f>IF(B23="Apr",1,0)</f>
        <v>0</v>
      </c>
      <c r="I23">
        <f>IF(B23="may",1,0)</f>
        <v>0</v>
      </c>
      <c r="J23">
        <f>IF(B23="Jun",1,0)</f>
        <v>0</v>
      </c>
      <c r="K23">
        <f>IF(B23="Jul",1,0)</f>
        <v>0</v>
      </c>
      <c r="L23">
        <f>IF(B23="Aug",1,0)</f>
        <v>0</v>
      </c>
      <c r="M23">
        <f>IF(B23="Sep",1,0)</f>
        <v>0</v>
      </c>
      <c r="N23">
        <f>IF(B23="Oct",1,0)</f>
        <v>1</v>
      </c>
      <c r="O23">
        <f>IF(B23="Nov",1,0)</f>
        <v>0</v>
      </c>
      <c r="Q23" t="s">
        <v>19</v>
      </c>
      <c r="R23" s="7">
        <v>-20.878472222222221</v>
      </c>
      <c r="S23" s="10">
        <v>3.6644488945796976</v>
      </c>
      <c r="T23">
        <v>-5.6975749486109084</v>
      </c>
      <c r="U23" s="10">
        <v>8.4131811625011761E-6</v>
      </c>
      <c r="V23">
        <v>-28.458962315986184</v>
      </c>
      <c r="W23">
        <v>-13.297982128458258</v>
      </c>
      <c r="X23">
        <v>-28.458962315986184</v>
      </c>
      <c r="Y23">
        <v>-13.297982128458258</v>
      </c>
    </row>
    <row r="24" spans="1:25" x14ac:dyDescent="0.2">
      <c r="B24" s="2" t="s">
        <v>10</v>
      </c>
      <c r="C24">
        <v>167</v>
      </c>
      <c r="D24">
        <v>23</v>
      </c>
      <c r="E24">
        <f>IF(B24="Jan",1,0)</f>
        <v>0</v>
      </c>
      <c r="F24">
        <f>IF(B24="Feb",1,0)</f>
        <v>0</v>
      </c>
      <c r="G24">
        <f>IF(B24="Mar",1,0)</f>
        <v>0</v>
      </c>
      <c r="H24">
        <f>IF(B24="Apr",1,0)</f>
        <v>0</v>
      </c>
      <c r="I24">
        <f>IF(B24="may",1,0)</f>
        <v>0</v>
      </c>
      <c r="J24">
        <f>IF(B24="Jun",1,0)</f>
        <v>0</v>
      </c>
      <c r="K24">
        <f>IF(B24="Jul",1,0)</f>
        <v>0</v>
      </c>
      <c r="L24">
        <f>IF(B24="Aug",1,0)</f>
        <v>0</v>
      </c>
      <c r="M24">
        <f>IF(B24="Sep",1,0)</f>
        <v>0</v>
      </c>
      <c r="N24">
        <f>IF(B24="Oct",1,0)</f>
        <v>0</v>
      </c>
      <c r="O24">
        <f>IF(B24="Nov",1,0)</f>
        <v>1</v>
      </c>
      <c r="Q24" t="s">
        <v>20</v>
      </c>
      <c r="R24" s="7">
        <v>-67.895833333333343</v>
      </c>
      <c r="S24" s="10">
        <v>3.6543120870705885</v>
      </c>
      <c r="T24">
        <v>-18.579648293739677</v>
      </c>
      <c r="U24" s="10">
        <v>2.3937254265292167E-15</v>
      </c>
      <c r="V24">
        <v>-75.455353843098237</v>
      </c>
      <c r="W24">
        <v>-60.336312823568448</v>
      </c>
      <c r="X24">
        <v>-75.455353843098237</v>
      </c>
      <c r="Y24">
        <v>-60.336312823568448</v>
      </c>
    </row>
    <row r="25" spans="1:25" x14ac:dyDescent="0.2">
      <c r="B25" s="2" t="s">
        <v>11</v>
      </c>
      <c r="C25">
        <v>230</v>
      </c>
      <c r="D25">
        <v>24</v>
      </c>
      <c r="E25">
        <f>IF(B25="Jan",1,0)</f>
        <v>0</v>
      </c>
      <c r="F25">
        <f>IF(B25="Feb",1,0)</f>
        <v>0</v>
      </c>
      <c r="G25">
        <f>IF(B25="Mar",1,0)</f>
        <v>0</v>
      </c>
      <c r="H25">
        <f>IF(B25="Apr",1,0)</f>
        <v>0</v>
      </c>
      <c r="I25">
        <f>IF(B25="may",1,0)</f>
        <v>0</v>
      </c>
      <c r="J25">
        <f>IF(B25="Jun",1,0)</f>
        <v>0</v>
      </c>
      <c r="K25">
        <f>IF(B25="Jul",1,0)</f>
        <v>0</v>
      </c>
      <c r="L25">
        <f>IF(B25="Aug",1,0)</f>
        <v>0</v>
      </c>
      <c r="M25">
        <f>IF(B25="Sep",1,0)</f>
        <v>0</v>
      </c>
      <c r="N25">
        <f>IF(B25="Oct",1,0)</f>
        <v>0</v>
      </c>
      <c r="O25">
        <f>IF(B25="Nov",1,0)</f>
        <v>0</v>
      </c>
      <c r="Q25" t="s">
        <v>21</v>
      </c>
      <c r="R25" s="7">
        <v>-62.5798611111111</v>
      </c>
      <c r="S25" s="10">
        <v>3.6457127740591484</v>
      </c>
      <c r="T25">
        <v>-17.165329522499515</v>
      </c>
      <c r="U25" s="10">
        <v>1.3146587497069986E-14</v>
      </c>
      <c r="V25">
        <v>-70.1215925865705</v>
      </c>
      <c r="W25">
        <v>-55.0381296356517</v>
      </c>
      <c r="X25">
        <v>-70.1215925865705</v>
      </c>
      <c r="Y25">
        <v>-55.0381296356517</v>
      </c>
    </row>
    <row r="26" spans="1:25" x14ac:dyDescent="0.2">
      <c r="A26">
        <v>3</v>
      </c>
      <c r="B26" s="2" t="s">
        <v>0</v>
      </c>
      <c r="C26">
        <v>282</v>
      </c>
      <c r="D26">
        <v>25</v>
      </c>
      <c r="E26">
        <f>IF(B26="Jan",1,0)</f>
        <v>1</v>
      </c>
      <c r="F26">
        <f>IF(B26="Feb",1,0)</f>
        <v>0</v>
      </c>
      <c r="G26">
        <f>IF(B26="Mar",1,0)</f>
        <v>0</v>
      </c>
      <c r="H26">
        <f>IF(B26="Apr",1,0)</f>
        <v>0</v>
      </c>
      <c r="I26">
        <f>IF(B26="may",1,0)</f>
        <v>0</v>
      </c>
      <c r="J26">
        <f>IF(B26="Jun",1,0)</f>
        <v>0</v>
      </c>
      <c r="K26">
        <f>IF(B26="Jul",1,0)</f>
        <v>0</v>
      </c>
      <c r="L26">
        <f>IF(B26="Aug",1,0)</f>
        <v>0</v>
      </c>
      <c r="M26">
        <f>IF(B26="Sep",1,0)</f>
        <v>0</v>
      </c>
      <c r="N26">
        <f>IF(B26="Oct",1,0)</f>
        <v>0</v>
      </c>
      <c r="O26">
        <f>IF(B26="Nov",1,0)</f>
        <v>0</v>
      </c>
      <c r="Q26" t="s">
        <v>22</v>
      </c>
      <c r="R26" s="7">
        <v>-57.263888888888893</v>
      </c>
      <c r="S26" s="10">
        <v>3.638661856324374</v>
      </c>
      <c r="T26">
        <v>-15.737623101569133</v>
      </c>
      <c r="U26" s="10">
        <v>8.3329311978198504E-14</v>
      </c>
      <c r="V26">
        <v>-64.791034429715808</v>
      </c>
      <c r="W26">
        <v>-49.736743348061971</v>
      </c>
      <c r="X26">
        <v>-64.791034429715808</v>
      </c>
      <c r="Y26">
        <v>-49.736743348061971</v>
      </c>
    </row>
    <row r="27" spans="1:25" x14ac:dyDescent="0.2">
      <c r="B27" s="2" t="s">
        <v>1</v>
      </c>
      <c r="C27">
        <v>255</v>
      </c>
      <c r="D27">
        <v>26</v>
      </c>
      <c r="E27">
        <f>IF(B27="Jan",1,0)</f>
        <v>0</v>
      </c>
      <c r="F27">
        <f>IF(B27="Feb",1,0)</f>
        <v>1</v>
      </c>
      <c r="G27">
        <f>IF(B27="Mar",1,0)</f>
        <v>0</v>
      </c>
      <c r="H27">
        <f>IF(B27="Apr",1,0)</f>
        <v>0</v>
      </c>
      <c r="I27">
        <f>IF(B27="may",1,0)</f>
        <v>0</v>
      </c>
      <c r="J27">
        <f>IF(B27="Jun",1,0)</f>
        <v>0</v>
      </c>
      <c r="K27">
        <f>IF(B27="Jul",1,0)</f>
        <v>0</v>
      </c>
      <c r="L27">
        <f>IF(B27="Aug",1,0)</f>
        <v>0</v>
      </c>
      <c r="M27">
        <f>IF(B27="Sep",1,0)</f>
        <v>0</v>
      </c>
      <c r="N27">
        <f>IF(B27="Oct",1,0)</f>
        <v>0</v>
      </c>
      <c r="O27">
        <f>IF(B27="Nov",1,0)</f>
        <v>0</v>
      </c>
      <c r="Q27" t="s">
        <v>23</v>
      </c>
      <c r="R27" s="7">
        <v>-101.28124999999997</v>
      </c>
      <c r="S27" s="10">
        <v>3.6331683488252846</v>
      </c>
      <c r="T27">
        <v>-27.87683924218577</v>
      </c>
      <c r="U27" s="10">
        <v>3.1316658346077679E-19</v>
      </c>
      <c r="V27">
        <v>-108.797031354731</v>
      </c>
      <c r="W27">
        <v>-93.765468645268939</v>
      </c>
      <c r="X27">
        <v>-108.797031354731</v>
      </c>
      <c r="Y27">
        <v>-93.765468645268939</v>
      </c>
    </row>
    <row r="28" spans="1:25" x14ac:dyDescent="0.2">
      <c r="B28" s="2" t="s">
        <v>2</v>
      </c>
      <c r="C28">
        <v>265</v>
      </c>
      <c r="D28">
        <v>27</v>
      </c>
      <c r="E28">
        <f>IF(B28="Jan",1,0)</f>
        <v>0</v>
      </c>
      <c r="F28">
        <f>IF(B28="Feb",1,0)</f>
        <v>0</v>
      </c>
      <c r="G28">
        <f>IF(B28="Mar",1,0)</f>
        <v>1</v>
      </c>
      <c r="H28">
        <f>IF(B28="Apr",1,0)</f>
        <v>0</v>
      </c>
      <c r="I28">
        <f>IF(B28="may",1,0)</f>
        <v>0</v>
      </c>
      <c r="J28">
        <f>IF(B28="Jun",1,0)</f>
        <v>0</v>
      </c>
      <c r="K28">
        <f>IF(B28="Jul",1,0)</f>
        <v>0</v>
      </c>
      <c r="L28">
        <f>IF(B28="Aug",1,0)</f>
        <v>0</v>
      </c>
      <c r="M28">
        <f>IF(B28="Sep",1,0)</f>
        <v>0</v>
      </c>
      <c r="N28">
        <f>IF(B28="Oct",1,0)</f>
        <v>0</v>
      </c>
      <c r="O28">
        <f>IF(B28="Nov",1,0)</f>
        <v>0</v>
      </c>
      <c r="Q28" t="s">
        <v>24</v>
      </c>
      <c r="R28" s="7">
        <v>-85.631944444444485</v>
      </c>
      <c r="S28" s="10">
        <v>3.6292393238316194</v>
      </c>
      <c r="T28">
        <v>-23.595011737621476</v>
      </c>
      <c r="U28" s="10">
        <v>1.2801271292340549E-17</v>
      </c>
      <c r="V28">
        <v>-93.139597991720848</v>
      </c>
      <c r="W28">
        <v>-78.124290897168123</v>
      </c>
      <c r="X28">
        <v>-93.139597991720848</v>
      </c>
      <c r="Y28">
        <v>-78.124290897168123</v>
      </c>
    </row>
    <row r="29" spans="1:25" ht="17" thickBot="1" x14ac:dyDescent="0.25">
      <c r="B29" s="2" t="s">
        <v>3</v>
      </c>
      <c r="C29">
        <v>205</v>
      </c>
      <c r="D29">
        <v>28</v>
      </c>
      <c r="E29">
        <f>IF(B29="Jan",1,0)</f>
        <v>0</v>
      </c>
      <c r="F29">
        <f>IF(B29="Feb",1,0)</f>
        <v>0</v>
      </c>
      <c r="G29">
        <f>IF(B29="Mar",1,0)</f>
        <v>0</v>
      </c>
      <c r="H29">
        <f>IF(B29="Apr",1,0)</f>
        <v>1</v>
      </c>
      <c r="I29">
        <f>IF(B29="may",1,0)</f>
        <v>0</v>
      </c>
      <c r="J29">
        <f>IF(B29="Jun",1,0)</f>
        <v>0</v>
      </c>
      <c r="K29">
        <f>IF(B29="Jul",1,0)</f>
        <v>0</v>
      </c>
      <c r="L29">
        <f>IF(B29="Aug",1,0)</f>
        <v>0</v>
      </c>
      <c r="M29">
        <f>IF(B29="Sep",1,0)</f>
        <v>0</v>
      </c>
      <c r="N29">
        <f>IF(B29="Oct",1,0)</f>
        <v>0</v>
      </c>
      <c r="O29">
        <f>IF(B29="Nov",1,0)</f>
        <v>0</v>
      </c>
      <c r="Q29" s="4" t="s">
        <v>25</v>
      </c>
      <c r="R29" s="8">
        <v>-58.649305555555593</v>
      </c>
      <c r="S29" s="19">
        <v>3.6268798657923242</v>
      </c>
      <c r="T29" s="4">
        <v>-16.170732895985548</v>
      </c>
      <c r="U29" s="19">
        <v>4.6903018512724601E-14</v>
      </c>
      <c r="V29" s="4">
        <v>-66.152078192002506</v>
      </c>
      <c r="W29" s="4">
        <v>-51.146532919108679</v>
      </c>
      <c r="X29" s="4">
        <v>-66.152078192002506</v>
      </c>
      <c r="Y29" s="4">
        <v>-51.146532919108679</v>
      </c>
    </row>
    <row r="30" spans="1:25" x14ac:dyDescent="0.2">
      <c r="B30" s="2" t="s">
        <v>4</v>
      </c>
      <c r="C30">
        <v>210</v>
      </c>
      <c r="D30">
        <v>29</v>
      </c>
      <c r="E30">
        <f>IF(B30="Jan",1,0)</f>
        <v>0</v>
      </c>
      <c r="F30">
        <f>IF(B30="Feb",1,0)</f>
        <v>0</v>
      </c>
      <c r="G30">
        <f>IF(B30="Mar",1,0)</f>
        <v>0</v>
      </c>
      <c r="H30">
        <f>IF(B30="Apr",1,0)</f>
        <v>0</v>
      </c>
      <c r="I30">
        <f>IF(B30="may",1,0)</f>
        <v>1</v>
      </c>
      <c r="J30">
        <f>IF(B30="Jun",1,0)</f>
        <v>0</v>
      </c>
      <c r="K30">
        <f>IF(B30="Jul",1,0)</f>
        <v>0</v>
      </c>
      <c r="L30">
        <f>IF(B30="Aug",1,0)</f>
        <v>0</v>
      </c>
      <c r="M30">
        <f>IF(B30="Sep",1,0)</f>
        <v>0</v>
      </c>
      <c r="N30">
        <f>IF(B30="Oct",1,0)</f>
        <v>0</v>
      </c>
      <c r="O30">
        <f>IF(B30="Nov",1,0)</f>
        <v>0</v>
      </c>
    </row>
    <row r="31" spans="1:25" x14ac:dyDescent="0.2">
      <c r="B31" s="2" t="s">
        <v>5</v>
      </c>
      <c r="C31">
        <v>160</v>
      </c>
      <c r="D31">
        <v>30</v>
      </c>
      <c r="E31">
        <f>IF(B31="Jan",1,0)</f>
        <v>0</v>
      </c>
      <c r="F31">
        <f>IF(B31="Feb",1,0)</f>
        <v>0</v>
      </c>
      <c r="G31">
        <f>IF(B31="Mar",1,0)</f>
        <v>0</v>
      </c>
      <c r="H31">
        <f>IF(B31="Apr",1,0)</f>
        <v>0</v>
      </c>
      <c r="I31">
        <f>IF(B31="may",1,0)</f>
        <v>0</v>
      </c>
      <c r="J31">
        <f>IF(B31="Jun",1,0)</f>
        <v>1</v>
      </c>
      <c r="K31">
        <f>IF(B31="Jul",1,0)</f>
        <v>0</v>
      </c>
      <c r="L31">
        <f>IF(B31="Aug",1,0)</f>
        <v>0</v>
      </c>
      <c r="M31">
        <f>IF(B31="Sep",1,0)</f>
        <v>0</v>
      </c>
      <c r="N31">
        <f>IF(B31="Oct",1,0)</f>
        <v>0</v>
      </c>
      <c r="O31">
        <f>IF(B31="Nov",1,0)</f>
        <v>0</v>
      </c>
      <c r="Q31" s="9" t="s">
        <v>60</v>
      </c>
    </row>
    <row r="32" spans="1:25" x14ac:dyDescent="0.2">
      <c r="B32" s="2" t="s">
        <v>6</v>
      </c>
      <c r="C32">
        <v>166</v>
      </c>
      <c r="D32">
        <v>31</v>
      </c>
      <c r="E32">
        <f>IF(B32="Jan",1,0)</f>
        <v>0</v>
      </c>
      <c r="F32">
        <f>IF(B32="Feb",1,0)</f>
        <v>0</v>
      </c>
      <c r="G32">
        <f>IF(B32="Mar",1,0)</f>
        <v>0</v>
      </c>
      <c r="H32">
        <f>IF(B32="Apr",1,0)</f>
        <v>0</v>
      </c>
      <c r="I32">
        <f>IF(B32="may",1,0)</f>
        <v>0</v>
      </c>
      <c r="J32">
        <f>IF(B32="Jun",1,0)</f>
        <v>0</v>
      </c>
      <c r="K32">
        <f>IF(B32="Jul",1,0)</f>
        <v>1</v>
      </c>
      <c r="L32">
        <f>IF(B32="Aug",1,0)</f>
        <v>0</v>
      </c>
      <c r="M32">
        <f>IF(B32="Sep",1,0)</f>
        <v>0</v>
      </c>
      <c r="N32">
        <f>IF(B32="Oct",1,0)</f>
        <v>0</v>
      </c>
      <c r="O32">
        <f>IF(B32="Nov",1,0)</f>
        <v>0</v>
      </c>
    </row>
    <row r="33" spans="1:26" x14ac:dyDescent="0.2">
      <c r="B33" s="2" t="s">
        <v>7</v>
      </c>
      <c r="C33">
        <v>174</v>
      </c>
      <c r="D33">
        <v>32</v>
      </c>
      <c r="E33">
        <f>IF(B33="Jan",1,0)</f>
        <v>0</v>
      </c>
      <c r="F33">
        <f>IF(B33="Feb",1,0)</f>
        <v>0</v>
      </c>
      <c r="G33">
        <f>IF(B33="Mar",1,0)</f>
        <v>0</v>
      </c>
      <c r="H33">
        <f>IF(B33="Apr",1,0)</f>
        <v>0</v>
      </c>
      <c r="I33">
        <f>IF(B33="may",1,0)</f>
        <v>0</v>
      </c>
      <c r="J33">
        <f>IF(B33="Jun",1,0)</f>
        <v>0</v>
      </c>
      <c r="K33">
        <f>IF(B33="Jul",1,0)</f>
        <v>0</v>
      </c>
      <c r="L33">
        <f>IF(B33="Aug",1,0)</f>
        <v>1</v>
      </c>
      <c r="M33">
        <f>IF(B33="Sep",1,0)</f>
        <v>0</v>
      </c>
      <c r="N33">
        <f>IF(B33="Oct",1,0)</f>
        <v>0</v>
      </c>
      <c r="O33">
        <f>IF(B33="Nov",1,0)</f>
        <v>0</v>
      </c>
    </row>
    <row r="34" spans="1:26" ht="18" x14ac:dyDescent="0.2">
      <c r="B34" s="2" t="s">
        <v>8</v>
      </c>
      <c r="C34">
        <v>126</v>
      </c>
      <c r="D34">
        <v>33</v>
      </c>
      <c r="E34">
        <f>IF(B34="Jan",1,0)</f>
        <v>0</v>
      </c>
      <c r="F34">
        <f>IF(B34="Feb",1,0)</f>
        <v>0</v>
      </c>
      <c r="G34">
        <f>IF(B34="Mar",1,0)</f>
        <v>0</v>
      </c>
      <c r="H34">
        <f>IF(B34="Apr",1,0)</f>
        <v>0</v>
      </c>
      <c r="I34">
        <f>IF(B34="may",1,0)</f>
        <v>0</v>
      </c>
      <c r="J34">
        <f>IF(B34="Jun",1,0)</f>
        <v>0</v>
      </c>
      <c r="K34">
        <f>IF(B34="Jul",1,0)</f>
        <v>0</v>
      </c>
      <c r="L34">
        <f>IF(B34="Aug",1,0)</f>
        <v>0</v>
      </c>
      <c r="M34">
        <f>IF(B34="Sep",1,0)</f>
        <v>1</v>
      </c>
      <c r="N34">
        <f>IF(B34="Oct",1,0)</f>
        <v>0</v>
      </c>
      <c r="O34">
        <f>IF(B34="Nov",1,0)</f>
        <v>0</v>
      </c>
      <c r="Q34" s="15" t="s">
        <v>66</v>
      </c>
    </row>
    <row r="35" spans="1:26" ht="16" customHeight="1" x14ac:dyDescent="0.2">
      <c r="B35" s="2" t="s">
        <v>9</v>
      </c>
      <c r="C35">
        <v>148</v>
      </c>
      <c r="D35">
        <v>34</v>
      </c>
      <c r="E35">
        <f>IF(B35="Jan",1,0)</f>
        <v>0</v>
      </c>
      <c r="F35">
        <f>IF(B35="Feb",1,0)</f>
        <v>0</v>
      </c>
      <c r="G35">
        <f>IF(B35="Mar",1,0)</f>
        <v>0</v>
      </c>
      <c r="H35">
        <f>IF(B35="Apr",1,0)</f>
        <v>0</v>
      </c>
      <c r="I35">
        <f>IF(B35="may",1,0)</f>
        <v>0</v>
      </c>
      <c r="J35">
        <f>IF(B35="Jun",1,0)</f>
        <v>0</v>
      </c>
      <c r="K35">
        <f>IF(B35="Jul",1,0)</f>
        <v>0</v>
      </c>
      <c r="L35">
        <f>IF(B35="Aug",1,0)</f>
        <v>0</v>
      </c>
      <c r="M35">
        <f>IF(B35="Sep",1,0)</f>
        <v>0</v>
      </c>
      <c r="N35">
        <f>IF(B35="Oct",1,0)</f>
        <v>1</v>
      </c>
      <c r="O35">
        <f>IF(B35="Nov",1,0)</f>
        <v>0</v>
      </c>
      <c r="Q35" s="18" t="s">
        <v>64</v>
      </c>
      <c r="R35" s="18"/>
      <c r="S35" s="18"/>
      <c r="T35" s="18"/>
      <c r="U35" s="18"/>
      <c r="V35" s="18"/>
      <c r="W35" s="18"/>
      <c r="X35" s="18"/>
      <c r="Y35" s="18"/>
      <c r="Z35" s="18"/>
    </row>
    <row r="36" spans="1:26" x14ac:dyDescent="0.2">
      <c r="B36" s="2" t="s">
        <v>10</v>
      </c>
      <c r="C36">
        <v>173</v>
      </c>
      <c r="D36">
        <v>35</v>
      </c>
      <c r="E36">
        <f>IF(B36="Jan",1,0)</f>
        <v>0</v>
      </c>
      <c r="F36">
        <f>IF(B36="Feb",1,0)</f>
        <v>0</v>
      </c>
      <c r="G36">
        <f>IF(B36="Mar",1,0)</f>
        <v>0</v>
      </c>
      <c r="H36">
        <f>IF(B36="Apr",1,0)</f>
        <v>0</v>
      </c>
      <c r="I36">
        <f>IF(B36="may",1,0)</f>
        <v>0</v>
      </c>
      <c r="J36">
        <f>IF(B36="Jun",1,0)</f>
        <v>0</v>
      </c>
      <c r="K36">
        <f>IF(B36="Jul",1,0)</f>
        <v>0</v>
      </c>
      <c r="L36">
        <f>IF(B36="Aug",1,0)</f>
        <v>0</v>
      </c>
      <c r="M36">
        <f>IF(B36="Sep",1,0)</f>
        <v>0</v>
      </c>
      <c r="N36">
        <f>IF(B36="Oct",1,0)</f>
        <v>0</v>
      </c>
      <c r="O36">
        <f>IF(B36="Nov",1,0)</f>
        <v>1</v>
      </c>
      <c r="Q36" s="18"/>
      <c r="R36" s="18"/>
      <c r="S36" s="18"/>
      <c r="T36" s="18"/>
      <c r="U36" s="18"/>
      <c r="V36" s="18"/>
      <c r="W36" s="18"/>
      <c r="X36" s="18"/>
      <c r="Y36" s="18"/>
      <c r="Z36" s="18"/>
    </row>
    <row r="37" spans="1:26" x14ac:dyDescent="0.2">
      <c r="B37" s="2" t="s">
        <v>11</v>
      </c>
      <c r="C37">
        <v>235</v>
      </c>
      <c r="D37">
        <v>36</v>
      </c>
      <c r="E37">
        <f>IF(B37="Jan",1,0)</f>
        <v>0</v>
      </c>
      <c r="F37">
        <f>IF(B37="Feb",1,0)</f>
        <v>0</v>
      </c>
      <c r="G37">
        <f>IF(B37="Mar",1,0)</f>
        <v>0</v>
      </c>
      <c r="H37">
        <f>IF(B37="Apr",1,0)</f>
        <v>0</v>
      </c>
      <c r="I37">
        <f>IF(B37="may",1,0)</f>
        <v>0</v>
      </c>
      <c r="J37">
        <f>IF(B37="Jun",1,0)</f>
        <v>0</v>
      </c>
      <c r="K37">
        <f>IF(B37="Jul",1,0)</f>
        <v>0</v>
      </c>
      <c r="L37">
        <f>IF(B37="Aug",1,0)</f>
        <v>0</v>
      </c>
      <c r="M37">
        <f>IF(B37="Sep",1,0)</f>
        <v>0</v>
      </c>
      <c r="N37">
        <f>IF(B37="Oct",1,0)</f>
        <v>0</v>
      </c>
      <c r="O37">
        <f>IF(B37="Nov",1,0)</f>
        <v>0</v>
      </c>
      <c r="Q37" s="18"/>
      <c r="R37" s="18"/>
      <c r="S37" s="18"/>
      <c r="T37" s="18"/>
      <c r="U37" s="18"/>
      <c r="V37" s="18"/>
      <c r="W37" s="18"/>
      <c r="X37" s="18"/>
      <c r="Y37" s="18"/>
      <c r="Z37" s="18"/>
    </row>
    <row r="38" spans="1:26" x14ac:dyDescent="0.2">
      <c r="A38" s="24">
        <v>4</v>
      </c>
      <c r="B38" s="24" t="s">
        <v>0</v>
      </c>
      <c r="C38" s="25">
        <f>$R$17+($R$18*D38)+($R$19*E38)+($R$20*F38)+($R$21*G38)+($R$22*H38)+($R$23*I38)+($R$24*J38)+($R$25*K38)+($R$26*L38)+($R$27*M38)+($R$28*N38)+($R$29*O38)</f>
        <v>286.74999999999994</v>
      </c>
      <c r="D38" s="24">
        <v>37</v>
      </c>
      <c r="E38" s="24">
        <f>IF(B38="Jan",1,0)</f>
        <v>1</v>
      </c>
      <c r="F38" s="24">
        <f>IF(B38="Feb",1,0)</f>
        <v>0</v>
      </c>
      <c r="G38" s="24">
        <f>IF(B38="Mar",1,0)</f>
        <v>0</v>
      </c>
      <c r="H38" s="24">
        <f>IF(B38="Apr",1,0)</f>
        <v>0</v>
      </c>
      <c r="I38" s="24">
        <f>IF(B38="may",1,0)</f>
        <v>0</v>
      </c>
      <c r="J38" s="24">
        <f>IF(B38="Jun",1,0)</f>
        <v>0</v>
      </c>
      <c r="K38" s="24">
        <f>IF(B38="Jul",1,0)</f>
        <v>0</v>
      </c>
      <c r="L38" s="24">
        <f>IF(B38="Aug",1,0)</f>
        <v>0</v>
      </c>
      <c r="M38" s="24">
        <f>IF(B38="Sep",1,0)</f>
        <v>0</v>
      </c>
      <c r="N38" s="24">
        <f>IF(B38="Oct",1,0)</f>
        <v>0</v>
      </c>
      <c r="O38" s="24">
        <f>IF(B38="Nov",1,0)</f>
        <v>0</v>
      </c>
      <c r="Q38" s="18"/>
      <c r="R38" s="18"/>
      <c r="S38" s="18"/>
      <c r="T38" s="18"/>
      <c r="U38" s="18"/>
      <c r="V38" s="18"/>
      <c r="W38" s="18"/>
      <c r="X38" s="18"/>
      <c r="Y38" s="18"/>
      <c r="Z38" s="18"/>
    </row>
    <row r="39" spans="1:26" x14ac:dyDescent="0.2">
      <c r="A39" s="24"/>
      <c r="B39" s="24" t="s">
        <v>1</v>
      </c>
      <c r="C39" s="25">
        <f>$R$17+($R$18*D39)+($R$19*E39)+($R$20*F39)+($R$21*G39)+($R$22*H39)+($R$23*I39)+($R$24*J39)+($R$25*K39)+($R$26*L39)+($R$27*M39)+($R$28*N39)+($R$29*O39)</f>
        <v>267.08333333333337</v>
      </c>
      <c r="D39" s="24">
        <v>38</v>
      </c>
      <c r="E39" s="24">
        <f>IF(B39="Jan",1,0)</f>
        <v>0</v>
      </c>
      <c r="F39" s="24">
        <f>IF(B39="Feb",1,0)</f>
        <v>1</v>
      </c>
      <c r="G39" s="24">
        <f>IF(B39="Mar",1,0)</f>
        <v>0</v>
      </c>
      <c r="H39" s="24">
        <f>IF(B39="Apr",1,0)</f>
        <v>0</v>
      </c>
      <c r="I39" s="24">
        <f>IF(B39="may",1,0)</f>
        <v>0</v>
      </c>
      <c r="J39" s="24">
        <f>IF(B39="Jun",1,0)</f>
        <v>0</v>
      </c>
      <c r="K39" s="24">
        <f>IF(B39="Jul",1,0)</f>
        <v>0</v>
      </c>
      <c r="L39" s="24">
        <f>IF(B39="Aug",1,0)</f>
        <v>0</v>
      </c>
      <c r="M39" s="24">
        <f>IF(B39="Sep",1,0)</f>
        <v>0</v>
      </c>
      <c r="N39" s="24">
        <f>IF(B39="Oct",1,0)</f>
        <v>0</v>
      </c>
      <c r="O39" s="24">
        <f>IF(B39="Nov",1,0)</f>
        <v>0</v>
      </c>
      <c r="Q39" s="18"/>
      <c r="R39" s="18"/>
      <c r="S39" s="18"/>
      <c r="T39" s="18"/>
      <c r="U39" s="18"/>
      <c r="V39" s="18"/>
      <c r="W39" s="18"/>
      <c r="X39" s="18"/>
      <c r="Y39" s="18"/>
      <c r="Z39" s="18"/>
    </row>
    <row r="40" spans="1:26" x14ac:dyDescent="0.2">
      <c r="A40" s="24"/>
      <c r="B40" s="24" t="s">
        <v>2</v>
      </c>
      <c r="C40" s="25">
        <f>$R$17+($R$18*D40)+($R$19*E40)+($R$20*F40)+($R$21*G40)+($R$22*H40)+($R$23*I40)+($R$24*J40)+($R$25*K40)+($R$26*L40)+($R$27*M40)+($R$28*N40)+($R$29*O40)</f>
        <v>272.41666666666663</v>
      </c>
      <c r="D40" s="24">
        <v>39</v>
      </c>
      <c r="E40" s="24">
        <f>IF(B40="Jan",1,0)</f>
        <v>0</v>
      </c>
      <c r="F40" s="24">
        <f>IF(B40="Feb",1,0)</f>
        <v>0</v>
      </c>
      <c r="G40" s="24">
        <f>IF(B40="Mar",1,0)</f>
        <v>1</v>
      </c>
      <c r="H40" s="24">
        <f>IF(B40="Apr",1,0)</f>
        <v>0</v>
      </c>
      <c r="I40" s="24">
        <f>IF(B40="may",1,0)</f>
        <v>0</v>
      </c>
      <c r="J40" s="24">
        <f>IF(B40="Jun",1,0)</f>
        <v>0</v>
      </c>
      <c r="K40" s="24">
        <f>IF(B40="Jul",1,0)</f>
        <v>0</v>
      </c>
      <c r="L40" s="24">
        <f>IF(B40="Aug",1,0)</f>
        <v>0</v>
      </c>
      <c r="M40" s="24">
        <f>IF(B40="Sep",1,0)</f>
        <v>0</v>
      </c>
      <c r="N40" s="24">
        <f>IF(B40="Oct",1,0)</f>
        <v>0</v>
      </c>
      <c r="O40" s="24">
        <f>IF(B40="Nov",1,0)</f>
        <v>0</v>
      </c>
      <c r="Q40" s="18"/>
      <c r="R40" s="18"/>
      <c r="S40" s="18"/>
      <c r="T40" s="18"/>
      <c r="U40" s="18"/>
      <c r="V40" s="18"/>
      <c r="W40" s="18"/>
      <c r="X40" s="18"/>
      <c r="Y40" s="18"/>
      <c r="Z40" s="18"/>
    </row>
    <row r="41" spans="1:26" x14ac:dyDescent="0.2">
      <c r="A41" s="24"/>
      <c r="B41" s="24" t="s">
        <v>3</v>
      </c>
      <c r="C41" s="25">
        <f>$R$17+($R$18*D41)+($R$19*E41)+($R$20*F41)+($R$21*G41)+($R$22*H41)+($R$23*I41)+($R$24*J41)+($R$25*K41)+($R$26*L41)+($R$27*M41)+($R$28*N41)+($R$29*O41)</f>
        <v>216.41666666666669</v>
      </c>
      <c r="D41" s="24">
        <v>40</v>
      </c>
      <c r="E41" s="24">
        <f>IF(B41="Jan",1,0)</f>
        <v>0</v>
      </c>
      <c r="F41" s="24">
        <f>IF(B41="Feb",1,0)</f>
        <v>0</v>
      </c>
      <c r="G41" s="24">
        <f>IF(B41="Mar",1,0)</f>
        <v>0</v>
      </c>
      <c r="H41" s="24">
        <f>IF(B41="Apr",1,0)</f>
        <v>1</v>
      </c>
      <c r="I41" s="24">
        <f>IF(B41="may",1,0)</f>
        <v>0</v>
      </c>
      <c r="J41" s="24">
        <f>IF(B41="Jun",1,0)</f>
        <v>0</v>
      </c>
      <c r="K41" s="24">
        <f>IF(B41="Jul",1,0)</f>
        <v>0</v>
      </c>
      <c r="L41" s="24">
        <f>IF(B41="Aug",1,0)</f>
        <v>0</v>
      </c>
      <c r="M41" s="24">
        <f>IF(B41="Sep",1,0)</f>
        <v>0</v>
      </c>
      <c r="N41" s="24">
        <f>IF(B41="Oct",1,0)</f>
        <v>0</v>
      </c>
      <c r="O41" s="24">
        <f>IF(B41="Nov",1,0)</f>
        <v>0</v>
      </c>
      <c r="Q41" s="18"/>
      <c r="R41" s="18"/>
      <c r="S41" s="18"/>
      <c r="T41" s="18"/>
      <c r="U41" s="18"/>
      <c r="V41" s="18"/>
      <c r="W41" s="18"/>
      <c r="X41" s="18"/>
      <c r="Y41" s="18"/>
      <c r="Z41" s="18"/>
    </row>
    <row r="42" spans="1:26" x14ac:dyDescent="0.2">
      <c r="A42" s="24"/>
      <c r="B42" s="24" t="s">
        <v>4</v>
      </c>
      <c r="C42" s="25">
        <f>$R$17+($R$18*D42)+($R$19*E42)+($R$20*F42)+($R$21*G42)+($R$22*H42)+($R$23*I42)+($R$24*J42)+($R$25*K42)+($R$26*L42)+($R$27*M42)+($R$28*N42)+($R$29*O42)</f>
        <v>220.08333333333331</v>
      </c>
      <c r="D42" s="24">
        <v>41</v>
      </c>
      <c r="E42" s="24">
        <f>IF(B42="Jan",1,0)</f>
        <v>0</v>
      </c>
      <c r="F42" s="24">
        <f>IF(B42="Feb",1,0)</f>
        <v>0</v>
      </c>
      <c r="G42" s="24">
        <f>IF(B42="Mar",1,0)</f>
        <v>0</v>
      </c>
      <c r="H42" s="24">
        <f>IF(B42="Apr",1,0)</f>
        <v>0</v>
      </c>
      <c r="I42" s="24">
        <f>IF(B42="may",1,0)</f>
        <v>1</v>
      </c>
      <c r="J42" s="24">
        <f>IF(B42="Jun",1,0)</f>
        <v>0</v>
      </c>
      <c r="K42" s="24">
        <f>IF(B42="Jul",1,0)</f>
        <v>0</v>
      </c>
      <c r="L42" s="24">
        <f>IF(B42="Aug",1,0)</f>
        <v>0</v>
      </c>
      <c r="M42" s="24">
        <f>IF(B42="Sep",1,0)</f>
        <v>0</v>
      </c>
      <c r="N42" s="24">
        <f>IF(B42="Oct",1,0)</f>
        <v>0</v>
      </c>
      <c r="O42" s="24">
        <f>IF(B42="Nov",1,0)</f>
        <v>0</v>
      </c>
      <c r="Q42" s="18"/>
      <c r="R42" s="18"/>
      <c r="S42" s="18"/>
      <c r="T42" s="18"/>
      <c r="U42" s="18"/>
      <c r="V42" s="18"/>
      <c r="W42" s="18"/>
      <c r="X42" s="18"/>
      <c r="Y42" s="18"/>
      <c r="Z42" s="18"/>
    </row>
    <row r="43" spans="1:26" x14ac:dyDescent="0.2">
      <c r="A43" s="24"/>
      <c r="B43" s="24" t="s">
        <v>5</v>
      </c>
      <c r="C43" s="25">
        <f>$R$17+($R$18*D43)+($R$19*E43)+($R$20*F43)+($R$21*G43)+($R$22*H43)+($R$23*I43)+($R$24*J43)+($R$25*K43)+($R$26*L43)+($R$27*M43)+($R$28*N43)+($R$29*O43)</f>
        <v>174.08333333333334</v>
      </c>
      <c r="D43" s="24">
        <v>42</v>
      </c>
      <c r="E43" s="24">
        <f>IF(B43="Jan",1,0)</f>
        <v>0</v>
      </c>
      <c r="F43" s="24">
        <f>IF(B43="Feb",1,0)</f>
        <v>0</v>
      </c>
      <c r="G43" s="24">
        <f>IF(B43="Mar",1,0)</f>
        <v>0</v>
      </c>
      <c r="H43" s="24">
        <f>IF(B43="Apr",1,0)</f>
        <v>0</v>
      </c>
      <c r="I43" s="24">
        <f>IF(B43="may",1,0)</f>
        <v>0</v>
      </c>
      <c r="J43" s="24">
        <f>IF(B43="Jun",1,0)</f>
        <v>1</v>
      </c>
      <c r="K43" s="24">
        <f>IF(B43="Jul",1,0)</f>
        <v>0</v>
      </c>
      <c r="L43" s="24">
        <f>IF(B43="Aug",1,0)</f>
        <v>0</v>
      </c>
      <c r="M43" s="24">
        <f>IF(B43="Sep",1,0)</f>
        <v>0</v>
      </c>
      <c r="N43" s="24">
        <f>IF(B43="Oct",1,0)</f>
        <v>0</v>
      </c>
      <c r="O43" s="24">
        <f>IF(B43="Nov",1,0)</f>
        <v>0</v>
      </c>
      <c r="Q43" s="18"/>
      <c r="R43" s="18"/>
      <c r="S43" s="18"/>
      <c r="T43" s="18"/>
      <c r="U43" s="18"/>
      <c r="V43" s="18"/>
      <c r="W43" s="18"/>
      <c r="X43" s="18"/>
      <c r="Y43" s="18"/>
      <c r="Z43" s="18"/>
    </row>
    <row r="44" spans="1:26" x14ac:dyDescent="0.2">
      <c r="A44" s="24"/>
      <c r="B44" s="24" t="s">
        <v>6</v>
      </c>
      <c r="C44" s="25">
        <f>$R$17+($R$18*D44)+($R$19*E44)+($R$20*F44)+($R$21*G44)+($R$22*H44)+($R$23*I44)+($R$24*J44)+($R$25*K44)+($R$26*L44)+($R$27*M44)+($R$28*N44)+($R$29*O44)</f>
        <v>180.41666666666669</v>
      </c>
      <c r="D44" s="24">
        <v>43</v>
      </c>
      <c r="E44" s="24">
        <f>IF(B44="Jan",1,0)</f>
        <v>0</v>
      </c>
      <c r="F44" s="24">
        <f>IF(B44="Feb",1,0)</f>
        <v>0</v>
      </c>
      <c r="G44" s="24">
        <f>IF(B44="Mar",1,0)</f>
        <v>0</v>
      </c>
      <c r="H44" s="24">
        <f>IF(B44="Apr",1,0)</f>
        <v>0</v>
      </c>
      <c r="I44" s="24">
        <f>IF(B44="may",1,0)</f>
        <v>0</v>
      </c>
      <c r="J44" s="24">
        <f>IF(B44="Jun",1,0)</f>
        <v>0</v>
      </c>
      <c r="K44" s="24">
        <f>IF(B44="Jul",1,0)</f>
        <v>1</v>
      </c>
      <c r="L44" s="24">
        <f>IF(B44="Aug",1,0)</f>
        <v>0</v>
      </c>
      <c r="M44" s="24">
        <f>IF(B44="Sep",1,0)</f>
        <v>0</v>
      </c>
      <c r="N44" s="24">
        <f>IF(B44="Oct",1,0)</f>
        <v>0</v>
      </c>
      <c r="O44" s="24">
        <f>IF(B44="Nov",1,0)</f>
        <v>0</v>
      </c>
      <c r="Q44" s="18"/>
      <c r="R44" s="18"/>
      <c r="S44" s="18"/>
      <c r="T44" s="18"/>
      <c r="U44" s="18"/>
      <c r="V44" s="18"/>
      <c r="W44" s="18"/>
      <c r="X44" s="18"/>
      <c r="Y44" s="18"/>
      <c r="Z44" s="18"/>
    </row>
    <row r="45" spans="1:26" x14ac:dyDescent="0.2">
      <c r="A45" s="24"/>
      <c r="B45" s="24" t="s">
        <v>7</v>
      </c>
      <c r="C45" s="25">
        <f>$R$17+($R$18*D45)+($R$19*E45)+($R$20*F45)+($R$21*G45)+($R$22*H45)+($R$23*I45)+($R$24*J45)+($R$25*K45)+($R$26*L45)+($R$27*M45)+($R$28*N45)+($R$29*O45)</f>
        <v>186.75</v>
      </c>
      <c r="D45" s="24">
        <v>44</v>
      </c>
      <c r="E45" s="24">
        <f>IF(B45="Jan",1,0)</f>
        <v>0</v>
      </c>
      <c r="F45" s="24">
        <f>IF(B45="Feb",1,0)</f>
        <v>0</v>
      </c>
      <c r="G45" s="24">
        <f>IF(B45="Mar",1,0)</f>
        <v>0</v>
      </c>
      <c r="H45" s="24">
        <f>IF(B45="Apr",1,0)</f>
        <v>0</v>
      </c>
      <c r="I45" s="24">
        <f>IF(B45="may",1,0)</f>
        <v>0</v>
      </c>
      <c r="J45" s="24">
        <f>IF(B45="Jun",1,0)</f>
        <v>0</v>
      </c>
      <c r="K45" s="24">
        <f>IF(B45="Jul",1,0)</f>
        <v>0</v>
      </c>
      <c r="L45" s="24">
        <f>IF(B45="Aug",1,0)</f>
        <v>1</v>
      </c>
      <c r="M45" s="24">
        <f>IF(B45="Sep",1,0)</f>
        <v>0</v>
      </c>
      <c r="N45" s="24">
        <f>IF(B45="Oct",1,0)</f>
        <v>0</v>
      </c>
      <c r="O45" s="24">
        <f>IF(B45="Nov",1,0)</f>
        <v>0</v>
      </c>
      <c r="Q45" s="18"/>
      <c r="R45" s="18"/>
      <c r="S45" s="18"/>
      <c r="T45" s="18"/>
      <c r="U45" s="18"/>
      <c r="V45" s="18"/>
      <c r="W45" s="18"/>
      <c r="X45" s="18"/>
      <c r="Y45" s="18"/>
      <c r="Z45" s="18"/>
    </row>
    <row r="46" spans="1:26" x14ac:dyDescent="0.2">
      <c r="A46" s="24"/>
      <c r="B46" s="24" t="s">
        <v>8</v>
      </c>
      <c r="C46" s="25">
        <f>$R$17+($R$18*D46)+($R$19*E46)+($R$20*F46)+($R$21*G46)+($R$22*H46)+($R$23*I46)+($R$24*J46)+($R$25*K46)+($R$26*L46)+($R$27*M46)+($R$28*N46)+($R$29*O46)</f>
        <v>143.75000000000003</v>
      </c>
      <c r="D46" s="24">
        <v>45</v>
      </c>
      <c r="E46" s="24">
        <f>IF(B46="Jan",1,0)</f>
        <v>0</v>
      </c>
      <c r="F46" s="24">
        <f>IF(B46="Feb",1,0)</f>
        <v>0</v>
      </c>
      <c r="G46" s="24">
        <f>IF(B46="Mar",1,0)</f>
        <v>0</v>
      </c>
      <c r="H46" s="24">
        <f>IF(B46="Apr",1,0)</f>
        <v>0</v>
      </c>
      <c r="I46" s="24">
        <f>IF(B46="may",1,0)</f>
        <v>0</v>
      </c>
      <c r="J46" s="24">
        <f>IF(B46="Jun",1,0)</f>
        <v>0</v>
      </c>
      <c r="K46" s="24">
        <f>IF(B46="Jul",1,0)</f>
        <v>0</v>
      </c>
      <c r="L46" s="24">
        <f>IF(B46="Aug",1,0)</f>
        <v>0</v>
      </c>
      <c r="M46" s="24">
        <f>IF(B46="Sep",1,0)</f>
        <v>1</v>
      </c>
      <c r="N46" s="24">
        <f>IF(B46="Oct",1,0)</f>
        <v>0</v>
      </c>
      <c r="O46" s="24">
        <f>IF(B46="Nov",1,0)</f>
        <v>0</v>
      </c>
      <c r="Q46" s="18"/>
      <c r="R46" s="18"/>
      <c r="S46" s="18"/>
      <c r="T46" s="18"/>
      <c r="U46" s="18"/>
      <c r="V46" s="18"/>
      <c r="W46" s="18"/>
      <c r="X46" s="18"/>
      <c r="Y46" s="18"/>
      <c r="Z46" s="18"/>
    </row>
    <row r="47" spans="1:26" x14ac:dyDescent="0.2">
      <c r="A47" s="24"/>
      <c r="B47" s="24" t="s">
        <v>9</v>
      </c>
      <c r="C47" s="25">
        <f>$R$17+($R$18*D47)+($R$19*E47)+($R$20*F47)+($R$21*G47)+($R$22*H47)+($R$23*I47)+($R$24*J47)+($R$25*K47)+($R$26*L47)+($R$27*M47)+($R$28*N47)+($R$29*O47)</f>
        <v>160.41666666666663</v>
      </c>
      <c r="D47" s="24">
        <v>46</v>
      </c>
      <c r="E47" s="24">
        <f>IF(B47="Jan",1,0)</f>
        <v>0</v>
      </c>
      <c r="F47" s="24">
        <f>IF(B47="Feb",1,0)</f>
        <v>0</v>
      </c>
      <c r="G47" s="24">
        <f>IF(B47="Mar",1,0)</f>
        <v>0</v>
      </c>
      <c r="H47" s="24">
        <f>IF(B47="Apr",1,0)</f>
        <v>0</v>
      </c>
      <c r="I47" s="24">
        <f>IF(B47="may",1,0)</f>
        <v>0</v>
      </c>
      <c r="J47" s="24">
        <f>IF(B47="Jun",1,0)</f>
        <v>0</v>
      </c>
      <c r="K47" s="24">
        <f>IF(B47="Jul",1,0)</f>
        <v>0</v>
      </c>
      <c r="L47" s="24">
        <f>IF(B47="Aug",1,0)</f>
        <v>0</v>
      </c>
      <c r="M47" s="24">
        <f>IF(B47="Sep",1,0)</f>
        <v>0</v>
      </c>
      <c r="N47" s="24">
        <f>IF(B47="Oct",1,0)</f>
        <v>1</v>
      </c>
      <c r="O47" s="24">
        <f>IF(B47="Nov",1,0)</f>
        <v>0</v>
      </c>
      <c r="Q47" s="18"/>
      <c r="R47" s="18"/>
      <c r="S47" s="18"/>
      <c r="T47" s="18"/>
      <c r="U47" s="18"/>
      <c r="V47" s="18"/>
      <c r="W47" s="18"/>
      <c r="X47" s="18"/>
      <c r="Y47" s="18"/>
      <c r="Z47" s="18"/>
    </row>
    <row r="48" spans="1:26" x14ac:dyDescent="0.2">
      <c r="A48" s="24"/>
      <c r="B48" s="24" t="s">
        <v>10</v>
      </c>
      <c r="C48" s="25">
        <f>$R$17+($R$18*D48)+($R$19*E48)+($R$20*F48)+($R$21*G48)+($R$22*H48)+($R$23*I48)+($R$24*J48)+($R$25*K48)+($R$26*L48)+($R$27*M48)+($R$28*N48)+($R$29*O48)</f>
        <v>188.41666666666663</v>
      </c>
      <c r="D48" s="24">
        <v>47</v>
      </c>
      <c r="E48" s="24">
        <f>IF(B48="Jan",1,0)</f>
        <v>0</v>
      </c>
      <c r="F48" s="24">
        <f>IF(B48="Feb",1,0)</f>
        <v>0</v>
      </c>
      <c r="G48" s="24">
        <f>IF(B48="Mar",1,0)</f>
        <v>0</v>
      </c>
      <c r="H48" s="24">
        <f>IF(B48="Apr",1,0)</f>
        <v>0</v>
      </c>
      <c r="I48" s="24">
        <f>IF(B48="may",1,0)</f>
        <v>0</v>
      </c>
      <c r="J48" s="24">
        <f>IF(B48="Jun",1,0)</f>
        <v>0</v>
      </c>
      <c r="K48" s="24">
        <f>IF(B48="Jul",1,0)</f>
        <v>0</v>
      </c>
      <c r="L48" s="24">
        <f>IF(B48="Aug",1,0)</f>
        <v>0</v>
      </c>
      <c r="M48" s="24">
        <f>IF(B48="Sep",1,0)</f>
        <v>0</v>
      </c>
      <c r="N48" s="24">
        <f>IF(B48="Oct",1,0)</f>
        <v>0</v>
      </c>
      <c r="O48" s="24">
        <f>IF(B48="Nov",1,0)</f>
        <v>1</v>
      </c>
      <c r="Q48" s="18"/>
      <c r="R48" s="18"/>
      <c r="S48" s="18"/>
      <c r="T48" s="18"/>
      <c r="U48" s="18"/>
      <c r="V48" s="18"/>
      <c r="W48" s="18"/>
      <c r="X48" s="18"/>
      <c r="Y48" s="18"/>
      <c r="Z48" s="18"/>
    </row>
    <row r="49" spans="1:26" x14ac:dyDescent="0.2">
      <c r="A49" s="24"/>
      <c r="B49" s="24" t="s">
        <v>11</v>
      </c>
      <c r="C49" s="25">
        <f>$R$17+($R$18*D49)+($R$19*E49)+($R$20*F49)+($R$21*G49)+($R$22*H49)+($R$23*I49)+($R$24*J49)+($R$25*K49)+($R$26*L49)+($R$27*M49)+($R$28*N49)+($R$29*O49)</f>
        <v>248.08333333333334</v>
      </c>
      <c r="D49" s="24">
        <v>48</v>
      </c>
      <c r="E49" s="24">
        <f>IF(B49="Jan",1,0)</f>
        <v>0</v>
      </c>
      <c r="F49" s="24">
        <f>IF(B49="Feb",1,0)</f>
        <v>0</v>
      </c>
      <c r="G49" s="24">
        <f>IF(B49="Mar",1,0)</f>
        <v>0</v>
      </c>
      <c r="H49" s="24">
        <f>IF(B49="Apr",1,0)</f>
        <v>0</v>
      </c>
      <c r="I49" s="24">
        <f>IF(B49="may",1,0)</f>
        <v>0</v>
      </c>
      <c r="J49" s="24">
        <f>IF(B49="Jun",1,0)</f>
        <v>0</v>
      </c>
      <c r="K49" s="24">
        <f>IF(B49="Jul",1,0)</f>
        <v>0</v>
      </c>
      <c r="L49" s="24">
        <f>IF(B49="Aug",1,0)</f>
        <v>0</v>
      </c>
      <c r="M49" s="24">
        <f>IF(B49="Sep",1,0)</f>
        <v>0</v>
      </c>
      <c r="N49" s="24">
        <f>IF(B49="Oct",1,0)</f>
        <v>0</v>
      </c>
      <c r="O49" s="24">
        <f>IF(B49="Nov",1,0)</f>
        <v>0</v>
      </c>
      <c r="Q49" s="18"/>
      <c r="R49" s="18"/>
      <c r="S49" s="18"/>
      <c r="T49" s="18"/>
      <c r="U49" s="18"/>
      <c r="V49" s="18"/>
      <c r="W49" s="18"/>
      <c r="X49" s="18"/>
      <c r="Y49" s="18"/>
      <c r="Z49" s="18"/>
    </row>
    <row r="50" spans="1:26" x14ac:dyDescent="0.2">
      <c r="Q50" s="18"/>
      <c r="R50" s="18"/>
      <c r="S50" s="18"/>
      <c r="T50" s="18"/>
      <c r="U50" s="18"/>
      <c r="V50" s="18"/>
      <c r="W50" s="18"/>
      <c r="X50" s="18"/>
      <c r="Y50" s="18"/>
      <c r="Z50" s="18"/>
    </row>
    <row r="51" spans="1:26" x14ac:dyDescent="0.2">
      <c r="Q51" s="18"/>
      <c r="R51" s="18"/>
      <c r="S51" s="18"/>
      <c r="T51" s="18"/>
      <c r="U51" s="18"/>
      <c r="V51" s="18"/>
      <c r="W51" s="18"/>
      <c r="X51" s="18"/>
      <c r="Y51" s="18"/>
      <c r="Z51" s="18"/>
    </row>
    <row r="52" spans="1:26" x14ac:dyDescent="0.2">
      <c r="Q52" s="18"/>
      <c r="R52" s="18"/>
      <c r="S52" s="18"/>
      <c r="T52" s="18"/>
      <c r="U52" s="18"/>
      <c r="V52" s="18"/>
      <c r="W52" s="18"/>
      <c r="X52" s="18"/>
      <c r="Y52" s="18"/>
      <c r="Z52" s="18"/>
    </row>
    <row r="53" spans="1:26" x14ac:dyDescent="0.2">
      <c r="Q53" s="18"/>
      <c r="R53" s="18"/>
      <c r="S53" s="18"/>
      <c r="T53" s="18"/>
      <c r="U53" s="18"/>
      <c r="V53" s="18"/>
      <c r="W53" s="18"/>
      <c r="X53" s="18"/>
      <c r="Y53" s="18"/>
      <c r="Z53" s="18"/>
    </row>
    <row r="54" spans="1:26" x14ac:dyDescent="0.2">
      <c r="Q54" s="18"/>
      <c r="R54" s="18"/>
      <c r="S54" s="18"/>
      <c r="T54" s="18"/>
      <c r="U54" s="18"/>
      <c r="V54" s="18"/>
      <c r="W54" s="18"/>
      <c r="X54" s="18"/>
      <c r="Y54" s="18"/>
      <c r="Z54" s="18"/>
    </row>
    <row r="55" spans="1:26" x14ac:dyDescent="0.2">
      <c r="Q55" s="18"/>
      <c r="R55" s="18"/>
      <c r="S55" s="18"/>
      <c r="T55" s="18"/>
      <c r="U55" s="18"/>
      <c r="V55" s="18"/>
      <c r="W55" s="18"/>
      <c r="X55" s="18"/>
      <c r="Y55" s="18"/>
      <c r="Z55" s="18"/>
    </row>
    <row r="56" spans="1:26" x14ac:dyDescent="0.2">
      <c r="Q56" s="18"/>
      <c r="R56" s="18"/>
      <c r="S56" s="18"/>
      <c r="T56" s="18"/>
      <c r="U56" s="18"/>
      <c r="V56" s="18"/>
      <c r="W56" s="18"/>
      <c r="X56" s="18"/>
      <c r="Y56" s="18"/>
      <c r="Z56" s="18"/>
    </row>
    <row r="57" spans="1:26" x14ac:dyDescent="0.2">
      <c r="Q57" s="18"/>
      <c r="R57" s="18"/>
      <c r="S57" s="18"/>
      <c r="T57" s="18"/>
      <c r="U57" s="18"/>
      <c r="V57" s="18"/>
      <c r="W57" s="18"/>
      <c r="X57" s="18"/>
      <c r="Y57" s="18"/>
      <c r="Z57" s="18"/>
    </row>
    <row r="58" spans="1:26" x14ac:dyDescent="0.2">
      <c r="Q58" s="18"/>
      <c r="R58" s="18"/>
      <c r="S58" s="18"/>
      <c r="T58" s="18"/>
      <c r="U58" s="18"/>
      <c r="V58" s="18"/>
      <c r="W58" s="18"/>
      <c r="X58" s="18"/>
      <c r="Y58" s="18"/>
      <c r="Z58" s="18"/>
    </row>
    <row r="67" spans="37:39" x14ac:dyDescent="0.2">
      <c r="AK67" s="11"/>
      <c r="AL67" s="11"/>
      <c r="AM67" s="12"/>
    </row>
    <row r="68" spans="37:39" ht="17" thickBot="1" x14ac:dyDescent="0.25">
      <c r="AK68" s="13"/>
      <c r="AL68" s="13"/>
      <c r="AM68" s="14"/>
    </row>
  </sheetData>
  <mergeCells count="1">
    <mergeCell ref="Q35:Z58"/>
  </mergeCells>
  <phoneticPr fontId="2"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82FC-E8F8-7841-90E4-576D03A3F67C}">
  <dimension ref="A1:AU73"/>
  <sheetViews>
    <sheetView workbookViewId="0">
      <selection activeCell="U33" sqref="U33"/>
    </sheetView>
  </sheetViews>
  <sheetFormatPr baseColWidth="10" defaultColWidth="8.83203125" defaultRowHeight="16" x14ac:dyDescent="0.2"/>
  <cols>
    <col min="1" max="1" width="9" bestFit="1" customWidth="1"/>
    <col min="2" max="2" width="12.6640625" bestFit="1" customWidth="1"/>
    <col min="3" max="3" width="9.1640625" bestFit="1" customWidth="1"/>
    <col min="4" max="4" width="10.33203125" bestFit="1" customWidth="1"/>
    <col min="5" max="5" width="9.83203125" bestFit="1" customWidth="1"/>
    <col min="6" max="14" width="9.1640625" customWidth="1"/>
    <col min="15" max="15" width="9.83203125" customWidth="1"/>
    <col min="16" max="16" width="3.5" customWidth="1"/>
    <col min="17" max="17" width="7.5" customWidth="1"/>
    <col min="18" max="18" width="3.5" customWidth="1"/>
    <col min="19" max="19" width="4.5" customWidth="1"/>
    <col min="20" max="20" width="6.6640625" bestFit="1" customWidth="1"/>
    <col min="21" max="21" width="6.33203125" customWidth="1"/>
    <col min="22" max="24" width="3.5" customWidth="1"/>
    <col min="25" max="25" width="10.6640625" customWidth="1"/>
    <col min="26" max="26" width="9.1640625" bestFit="1" customWidth="1"/>
    <col min="27" max="27" width="11.1640625" bestFit="1" customWidth="1"/>
    <col min="28" max="28" width="10.6640625" bestFit="1" customWidth="1"/>
    <col min="29" max="29" width="12.6640625" bestFit="1" customWidth="1"/>
    <col min="30" max="30" width="14.33203125" customWidth="1"/>
    <col min="31" max="33" width="9" bestFit="1" customWidth="1"/>
  </cols>
  <sheetData>
    <row r="1" spans="1:33" x14ac:dyDescent="0.2">
      <c r="A1" s="3" t="s">
        <v>13</v>
      </c>
      <c r="B1" s="3" t="s">
        <v>12</v>
      </c>
      <c r="C1" s="1" t="s">
        <v>61</v>
      </c>
      <c r="D1" s="1" t="s">
        <v>58</v>
      </c>
      <c r="E1" s="3" t="s">
        <v>15</v>
      </c>
      <c r="F1" s="3" t="s">
        <v>16</v>
      </c>
      <c r="G1" s="3" t="s">
        <v>17</v>
      </c>
      <c r="H1" s="3" t="s">
        <v>18</v>
      </c>
      <c r="I1" s="3" t="s">
        <v>19</v>
      </c>
      <c r="J1" s="3" t="s">
        <v>20</v>
      </c>
      <c r="K1" s="3" t="s">
        <v>21</v>
      </c>
      <c r="L1" s="3" t="s">
        <v>22</v>
      </c>
      <c r="M1" s="3" t="s">
        <v>23</v>
      </c>
      <c r="N1" s="3" t="s">
        <v>24</v>
      </c>
      <c r="O1" s="3" t="s">
        <v>25</v>
      </c>
      <c r="Y1" t="s">
        <v>26</v>
      </c>
    </row>
    <row r="2" spans="1:33" ht="17" thickBot="1" x14ac:dyDescent="0.25">
      <c r="A2">
        <v>1</v>
      </c>
      <c r="B2" s="2" t="s">
        <v>0</v>
      </c>
      <c r="C2">
        <v>242</v>
      </c>
      <c r="D2">
        <v>1</v>
      </c>
      <c r="E2">
        <f>IF(B2="Jan",1,0)</f>
        <v>1</v>
      </c>
      <c r="F2">
        <f>IF(B2="Feb",1,0)</f>
        <v>0</v>
      </c>
      <c r="G2">
        <f>IF(B2="Mar",1,0)</f>
        <v>0</v>
      </c>
      <c r="H2">
        <f>IF(B2="Apr",1,0)</f>
        <v>0</v>
      </c>
      <c r="I2">
        <f>IF(B2="may",1,0)</f>
        <v>0</v>
      </c>
      <c r="J2">
        <f>IF(B2="Jun",1,0)</f>
        <v>0</v>
      </c>
      <c r="K2">
        <f>IF(B2="Jul",1,0)</f>
        <v>0</v>
      </c>
      <c r="L2">
        <f>IF(B2="Aug",1,0)</f>
        <v>0</v>
      </c>
      <c r="M2">
        <f>IF(B2="Sep",1,0)</f>
        <v>0</v>
      </c>
      <c r="N2">
        <f>IF(B2="Oct",1,0)</f>
        <v>0</v>
      </c>
      <c r="O2">
        <f>IF(B2="Nov",1,0)</f>
        <v>0</v>
      </c>
    </row>
    <row r="3" spans="1:33" x14ac:dyDescent="0.2">
      <c r="B3" s="2" t="s">
        <v>1</v>
      </c>
      <c r="C3">
        <v>235</v>
      </c>
      <c r="D3">
        <v>2</v>
      </c>
      <c r="E3">
        <f>IF(B3="Jan",1,0)</f>
        <v>0</v>
      </c>
      <c r="F3">
        <f>IF(B3="Feb",1,0)</f>
        <v>1</v>
      </c>
      <c r="G3">
        <f>IF(B3="Mar",1,0)</f>
        <v>0</v>
      </c>
      <c r="H3">
        <f>IF(B3="Apr",1,0)</f>
        <v>0</v>
      </c>
      <c r="I3">
        <f>IF(B3="may",1,0)</f>
        <v>0</v>
      </c>
      <c r="J3">
        <f>IF(B3="Jun",1,0)</f>
        <v>0</v>
      </c>
      <c r="K3">
        <f>IF(B3="Jul",1,0)</f>
        <v>0</v>
      </c>
      <c r="L3">
        <f>IF(B3="Aug",1,0)</f>
        <v>0</v>
      </c>
      <c r="M3">
        <f>IF(B3="Sep",1,0)</f>
        <v>0</v>
      </c>
      <c r="N3">
        <f>IF(B3="Oct",1,0)</f>
        <v>0</v>
      </c>
      <c r="O3">
        <f>IF(B3="Nov",1,0)</f>
        <v>0</v>
      </c>
      <c r="Y3" s="6" t="s">
        <v>27</v>
      </c>
      <c r="Z3" s="6"/>
    </row>
    <row r="4" spans="1:33" x14ac:dyDescent="0.2">
      <c r="B4" s="2" t="s">
        <v>2</v>
      </c>
      <c r="C4">
        <v>232</v>
      </c>
      <c r="D4">
        <v>3</v>
      </c>
      <c r="E4">
        <f>IF(B4="Jan",1,0)</f>
        <v>0</v>
      </c>
      <c r="F4">
        <f>IF(B4="Feb",1,0)</f>
        <v>0</v>
      </c>
      <c r="G4">
        <f>IF(B4="Mar",1,0)</f>
        <v>1</v>
      </c>
      <c r="H4">
        <f>IF(B4="Apr",1,0)</f>
        <v>0</v>
      </c>
      <c r="I4">
        <f>IF(B4="may",1,0)</f>
        <v>0</v>
      </c>
      <c r="J4">
        <f>IF(B4="Jun",1,0)</f>
        <v>0</v>
      </c>
      <c r="K4">
        <f>IF(B4="Jul",1,0)</f>
        <v>0</v>
      </c>
      <c r="L4">
        <f>IF(B4="Aug",1,0)</f>
        <v>0</v>
      </c>
      <c r="M4">
        <f>IF(B4="Sep",1,0)</f>
        <v>0</v>
      </c>
      <c r="N4">
        <f>IF(B4="Oct",1,0)</f>
        <v>0</v>
      </c>
      <c r="O4">
        <f>IF(B4="Nov",1,0)</f>
        <v>0</v>
      </c>
      <c r="Y4" t="s">
        <v>28</v>
      </c>
      <c r="Z4">
        <v>0.99708229958431915</v>
      </c>
    </row>
    <row r="5" spans="1:33" x14ac:dyDescent="0.2">
      <c r="B5" s="2" t="s">
        <v>3</v>
      </c>
      <c r="C5">
        <v>178</v>
      </c>
      <c r="D5">
        <v>4</v>
      </c>
      <c r="E5">
        <f>IF(B5="Jan",1,0)</f>
        <v>0</v>
      </c>
      <c r="F5">
        <f>IF(B5="Feb",1,0)</f>
        <v>0</v>
      </c>
      <c r="G5">
        <f>IF(B5="Mar",1,0)</f>
        <v>0</v>
      </c>
      <c r="H5">
        <f>IF(B5="Apr",1,0)</f>
        <v>1</v>
      </c>
      <c r="I5">
        <f>IF(B5="may",1,0)</f>
        <v>0</v>
      </c>
      <c r="J5">
        <f>IF(B5="Jun",1,0)</f>
        <v>0</v>
      </c>
      <c r="K5">
        <f>IF(B5="Jul",1,0)</f>
        <v>0</v>
      </c>
      <c r="L5">
        <f>IF(B5="Aug",1,0)</f>
        <v>0</v>
      </c>
      <c r="M5">
        <f>IF(B5="Sep",1,0)</f>
        <v>0</v>
      </c>
      <c r="N5">
        <f>IF(B5="Oct",1,0)</f>
        <v>0</v>
      </c>
      <c r="O5">
        <f>IF(B5="Nov",1,0)</f>
        <v>0</v>
      </c>
      <c r="Y5" t="s">
        <v>29</v>
      </c>
      <c r="Z5">
        <v>0.994173112144354</v>
      </c>
    </row>
    <row r="6" spans="1:33" x14ac:dyDescent="0.2">
      <c r="B6" s="2" t="s">
        <v>4</v>
      </c>
      <c r="C6">
        <v>184</v>
      </c>
      <c r="D6">
        <v>5</v>
      </c>
      <c r="E6">
        <f>IF(B6="Jan",1,0)</f>
        <v>0</v>
      </c>
      <c r="F6">
        <f>IF(B6="Feb",1,0)</f>
        <v>0</v>
      </c>
      <c r="G6">
        <f>IF(B6="Mar",1,0)</f>
        <v>0</v>
      </c>
      <c r="H6">
        <f>IF(B6="Apr",1,0)</f>
        <v>0</v>
      </c>
      <c r="I6">
        <f>IF(B6="may",1,0)</f>
        <v>1</v>
      </c>
      <c r="J6">
        <f>IF(B6="Jun",1,0)</f>
        <v>0</v>
      </c>
      <c r="K6">
        <f>IF(B6="Jul",1,0)</f>
        <v>0</v>
      </c>
      <c r="L6">
        <f>IF(B6="Aug",1,0)</f>
        <v>0</v>
      </c>
      <c r="M6">
        <f>IF(B6="Sep",1,0)</f>
        <v>0</v>
      </c>
      <c r="N6">
        <f>IF(B6="Oct",1,0)</f>
        <v>0</v>
      </c>
      <c r="O6">
        <f>IF(B6="Nov",1,0)</f>
        <v>0</v>
      </c>
      <c r="Y6" t="s">
        <v>30</v>
      </c>
      <c r="Z6">
        <v>0.9911329967414082</v>
      </c>
    </row>
    <row r="7" spans="1:33" x14ac:dyDescent="0.2">
      <c r="B7" s="2" t="s">
        <v>5</v>
      </c>
      <c r="C7">
        <v>140</v>
      </c>
      <c r="D7">
        <v>6</v>
      </c>
      <c r="E7">
        <f>IF(B7="Jan",1,0)</f>
        <v>0</v>
      </c>
      <c r="F7">
        <f>IF(B7="Feb",1,0)</f>
        <v>0</v>
      </c>
      <c r="G7">
        <f>IF(B7="Mar",1,0)</f>
        <v>0</v>
      </c>
      <c r="H7">
        <f>IF(B7="Apr",1,0)</f>
        <v>0</v>
      </c>
      <c r="I7">
        <f>IF(B7="may",1,0)</f>
        <v>0</v>
      </c>
      <c r="J7">
        <f>IF(B7="Jun",1,0)</f>
        <v>1</v>
      </c>
      <c r="K7">
        <f>IF(B7="Jul",1,0)</f>
        <v>0</v>
      </c>
      <c r="L7">
        <f>IF(B7="Aug",1,0)</f>
        <v>0</v>
      </c>
      <c r="M7">
        <f>IF(B7="Sep",1,0)</f>
        <v>0</v>
      </c>
      <c r="N7">
        <f>IF(B7="Oct",1,0)</f>
        <v>0</v>
      </c>
      <c r="O7">
        <f>IF(B7="Nov",1,0)</f>
        <v>0</v>
      </c>
      <c r="Y7" t="s">
        <v>31</v>
      </c>
      <c r="Z7">
        <v>4.4410388522232722</v>
      </c>
    </row>
    <row r="8" spans="1:33" ht="17" thickBot="1" x14ac:dyDescent="0.25">
      <c r="B8" s="2" t="s">
        <v>6</v>
      </c>
      <c r="C8">
        <v>145</v>
      </c>
      <c r="D8">
        <v>7</v>
      </c>
      <c r="E8">
        <f>IF(B8="Jan",1,0)</f>
        <v>0</v>
      </c>
      <c r="F8">
        <f>IF(B8="Feb",1,0)</f>
        <v>0</v>
      </c>
      <c r="G8">
        <f>IF(B8="Mar",1,0)</f>
        <v>0</v>
      </c>
      <c r="H8">
        <f>IF(B8="Apr",1,0)</f>
        <v>0</v>
      </c>
      <c r="I8">
        <f>IF(B8="may",1,0)</f>
        <v>0</v>
      </c>
      <c r="J8">
        <f>IF(B8="Jun",1,0)</f>
        <v>0</v>
      </c>
      <c r="K8">
        <f>IF(B8="Jul",1,0)</f>
        <v>1</v>
      </c>
      <c r="L8">
        <f>IF(B8="Aug",1,0)</f>
        <v>0</v>
      </c>
      <c r="M8">
        <f>IF(B8="Sep",1,0)</f>
        <v>0</v>
      </c>
      <c r="N8">
        <f>IF(B8="Oct",1,0)</f>
        <v>0</v>
      </c>
      <c r="O8">
        <f>IF(B8="Nov",1,0)</f>
        <v>0</v>
      </c>
      <c r="Y8" s="4" t="s">
        <v>32</v>
      </c>
      <c r="Z8" s="4">
        <v>36</v>
      </c>
    </row>
    <row r="9" spans="1:33" x14ac:dyDescent="0.2">
      <c r="B9" s="2" t="s">
        <v>7</v>
      </c>
      <c r="C9">
        <v>152</v>
      </c>
      <c r="D9">
        <v>8</v>
      </c>
      <c r="E9">
        <f>IF(B9="Jan",1,0)</f>
        <v>0</v>
      </c>
      <c r="F9">
        <f>IF(B9="Feb",1,0)</f>
        <v>0</v>
      </c>
      <c r="G9">
        <f>IF(B9="Mar",1,0)</f>
        <v>0</v>
      </c>
      <c r="H9">
        <f>IF(B9="Apr",1,0)</f>
        <v>0</v>
      </c>
      <c r="I9">
        <f>IF(B9="may",1,0)</f>
        <v>0</v>
      </c>
      <c r="J9">
        <f>IF(B9="Jun",1,0)</f>
        <v>0</v>
      </c>
      <c r="K9">
        <f>IF(B9="Jul",1,0)</f>
        <v>0</v>
      </c>
      <c r="L9">
        <f>IF(B9="Aug",1,0)</f>
        <v>1</v>
      </c>
      <c r="M9">
        <f>IF(B9="Sep",1,0)</f>
        <v>0</v>
      </c>
      <c r="N9">
        <f>IF(B9="Oct",1,0)</f>
        <v>0</v>
      </c>
      <c r="O9">
        <f>IF(B9="Nov",1,0)</f>
        <v>0</v>
      </c>
    </row>
    <row r="10" spans="1:33" ht="17" thickBot="1" x14ac:dyDescent="0.25">
      <c r="B10" s="2" t="s">
        <v>8</v>
      </c>
      <c r="C10">
        <v>110</v>
      </c>
      <c r="D10">
        <v>9</v>
      </c>
      <c r="E10">
        <f>IF(B10="Jan",1,0)</f>
        <v>0</v>
      </c>
      <c r="F10">
        <f>IF(B10="Feb",1,0)</f>
        <v>0</v>
      </c>
      <c r="G10">
        <f>IF(B10="Mar",1,0)</f>
        <v>0</v>
      </c>
      <c r="H10">
        <f>IF(B10="Apr",1,0)</f>
        <v>0</v>
      </c>
      <c r="I10">
        <f>IF(B10="may",1,0)</f>
        <v>0</v>
      </c>
      <c r="J10">
        <f>IF(B10="Jun",1,0)</f>
        <v>0</v>
      </c>
      <c r="K10">
        <f>IF(B10="Jul",1,0)</f>
        <v>0</v>
      </c>
      <c r="L10">
        <f>IF(B10="Aug",1,0)</f>
        <v>0</v>
      </c>
      <c r="M10">
        <f>IF(B10="Sep",1,0)</f>
        <v>1</v>
      </c>
      <c r="N10">
        <f>IF(B10="Oct",1,0)</f>
        <v>0</v>
      </c>
      <c r="O10">
        <f>IF(B10="Nov",1,0)</f>
        <v>0</v>
      </c>
      <c r="Y10" t="s">
        <v>33</v>
      </c>
    </row>
    <row r="11" spans="1:33" x14ac:dyDescent="0.2">
      <c r="B11" s="2" t="s">
        <v>9</v>
      </c>
      <c r="C11">
        <v>130</v>
      </c>
      <c r="D11">
        <v>10</v>
      </c>
      <c r="E11">
        <f>IF(B11="Jan",1,0)</f>
        <v>0</v>
      </c>
      <c r="F11">
        <f>IF(B11="Feb",1,0)</f>
        <v>0</v>
      </c>
      <c r="G11">
        <f>IF(B11="Mar",1,0)</f>
        <v>0</v>
      </c>
      <c r="H11">
        <f>IF(B11="Apr",1,0)</f>
        <v>0</v>
      </c>
      <c r="I11">
        <f>IF(B11="may",1,0)</f>
        <v>0</v>
      </c>
      <c r="J11">
        <f>IF(B11="Jun",1,0)</f>
        <v>0</v>
      </c>
      <c r="K11">
        <f>IF(B11="Jul",1,0)</f>
        <v>0</v>
      </c>
      <c r="L11">
        <f>IF(B11="Aug",1,0)</f>
        <v>0</v>
      </c>
      <c r="M11">
        <f>IF(B11="Sep",1,0)</f>
        <v>0</v>
      </c>
      <c r="N11">
        <f>IF(B11="Oct",1,0)</f>
        <v>1</v>
      </c>
      <c r="O11">
        <f>IF(B11="Nov",1,0)</f>
        <v>0</v>
      </c>
      <c r="Y11" s="5"/>
      <c r="Z11" s="5" t="s">
        <v>38</v>
      </c>
      <c r="AA11" s="5" t="s">
        <v>39</v>
      </c>
      <c r="AB11" s="5" t="s">
        <v>40</v>
      </c>
      <c r="AC11" s="5" t="s">
        <v>41</v>
      </c>
      <c r="AD11" s="5" t="s">
        <v>42</v>
      </c>
    </row>
    <row r="12" spans="1:33" x14ac:dyDescent="0.2">
      <c r="B12" s="2" t="s">
        <v>10</v>
      </c>
      <c r="C12">
        <v>152</v>
      </c>
      <c r="D12">
        <v>11</v>
      </c>
      <c r="E12">
        <f>IF(B12="Jan",1,0)</f>
        <v>0</v>
      </c>
      <c r="F12">
        <f>IF(B12="Feb",1,0)</f>
        <v>0</v>
      </c>
      <c r="G12">
        <f>IF(B12="Mar",1,0)</f>
        <v>0</v>
      </c>
      <c r="H12">
        <f>IF(B12="Apr",1,0)</f>
        <v>0</v>
      </c>
      <c r="I12">
        <f>IF(B12="may",1,0)</f>
        <v>0</v>
      </c>
      <c r="J12">
        <f>IF(B12="Jun",1,0)</f>
        <v>0</v>
      </c>
      <c r="K12">
        <f>IF(B12="Jul",1,0)</f>
        <v>0</v>
      </c>
      <c r="L12">
        <f>IF(B12="Aug",1,0)</f>
        <v>0</v>
      </c>
      <c r="M12">
        <f>IF(B12="Sep",1,0)</f>
        <v>0</v>
      </c>
      <c r="N12">
        <f>IF(B12="Oct",1,0)</f>
        <v>0</v>
      </c>
      <c r="O12">
        <f>IF(B12="Nov",1,0)</f>
        <v>1</v>
      </c>
      <c r="Y12" t="s">
        <v>34</v>
      </c>
      <c r="Z12">
        <v>12</v>
      </c>
      <c r="AA12">
        <v>77396.680555555547</v>
      </c>
      <c r="AB12">
        <v>6449.7233796296287</v>
      </c>
      <c r="AC12">
        <v>327.01821489441915</v>
      </c>
      <c r="AD12">
        <v>1.0188179189817924E-22</v>
      </c>
    </row>
    <row r="13" spans="1:33" x14ac:dyDescent="0.2">
      <c r="B13" s="2" t="s">
        <v>11</v>
      </c>
      <c r="C13">
        <v>206</v>
      </c>
      <c r="D13">
        <v>12</v>
      </c>
      <c r="E13">
        <f>IF(B13="Jan",1,0)</f>
        <v>0</v>
      </c>
      <c r="F13">
        <f>IF(B13="Feb",1,0)</f>
        <v>0</v>
      </c>
      <c r="G13">
        <f>IF(B13="Mar",1,0)</f>
        <v>0</v>
      </c>
      <c r="H13">
        <f>IF(B13="Apr",1,0)</f>
        <v>0</v>
      </c>
      <c r="I13">
        <f>IF(B13="may",1,0)</f>
        <v>0</v>
      </c>
      <c r="J13">
        <f>IF(B13="Jun",1,0)</f>
        <v>0</v>
      </c>
      <c r="K13">
        <f>IF(B13="Jul",1,0)</f>
        <v>0</v>
      </c>
      <c r="L13">
        <f>IF(B13="Aug",1,0)</f>
        <v>0</v>
      </c>
      <c r="M13">
        <f>IF(B13="Sep",1,0)</f>
        <v>0</v>
      </c>
      <c r="N13">
        <f>IF(B13="Oct",1,0)</f>
        <v>0</v>
      </c>
      <c r="O13">
        <f>IF(B13="Nov",1,0)</f>
        <v>0</v>
      </c>
      <c r="Y13" t="s">
        <v>35</v>
      </c>
      <c r="Z13">
        <v>23</v>
      </c>
      <c r="AA13">
        <v>453.62500000000176</v>
      </c>
      <c r="AB13">
        <v>19.722826086956598</v>
      </c>
    </row>
    <row r="14" spans="1:33" ht="17" thickBot="1" x14ac:dyDescent="0.25">
      <c r="A14">
        <v>2</v>
      </c>
      <c r="B14" s="2" t="s">
        <v>0</v>
      </c>
      <c r="C14">
        <v>263</v>
      </c>
      <c r="D14">
        <v>13</v>
      </c>
      <c r="E14">
        <f>IF(B14="Jan",1,0)</f>
        <v>1</v>
      </c>
      <c r="F14">
        <f>IF(B14="Feb",1,0)</f>
        <v>0</v>
      </c>
      <c r="G14">
        <f>IF(B14="Mar",1,0)</f>
        <v>0</v>
      </c>
      <c r="H14">
        <f>IF(B14="Apr",1,0)</f>
        <v>0</v>
      </c>
      <c r="I14">
        <f>IF(B14="may",1,0)</f>
        <v>0</v>
      </c>
      <c r="J14">
        <f>IF(B14="Jun",1,0)</f>
        <v>0</v>
      </c>
      <c r="K14">
        <f>IF(B14="Jul",1,0)</f>
        <v>0</v>
      </c>
      <c r="L14">
        <f>IF(B14="Aug",1,0)</f>
        <v>0</v>
      </c>
      <c r="M14">
        <f>IF(B14="Sep",1,0)</f>
        <v>0</v>
      </c>
      <c r="N14">
        <f>IF(B14="Oct",1,0)</f>
        <v>0</v>
      </c>
      <c r="O14">
        <f>IF(B14="Nov",1,0)</f>
        <v>0</v>
      </c>
      <c r="Y14" s="4" t="s">
        <v>36</v>
      </c>
      <c r="Z14" s="4">
        <v>35</v>
      </c>
      <c r="AA14" s="4">
        <v>77850.305555555547</v>
      </c>
      <c r="AB14" s="4"/>
      <c r="AC14" s="4"/>
      <c r="AD14" s="4"/>
    </row>
    <row r="15" spans="1:33" ht="17" thickBot="1" x14ac:dyDescent="0.25">
      <c r="B15" s="2" t="s">
        <v>1</v>
      </c>
      <c r="C15">
        <v>238</v>
      </c>
      <c r="D15">
        <v>14</v>
      </c>
      <c r="E15">
        <f>IF(B15="Jan",1,0)</f>
        <v>0</v>
      </c>
      <c r="F15">
        <f>IF(B15="Feb",1,0)</f>
        <v>1</v>
      </c>
      <c r="G15">
        <f>IF(B15="Mar",1,0)</f>
        <v>0</v>
      </c>
      <c r="H15">
        <f>IF(B15="Apr",1,0)</f>
        <v>0</v>
      </c>
      <c r="I15">
        <f>IF(B15="may",1,0)</f>
        <v>0</v>
      </c>
      <c r="J15">
        <f>IF(B15="Jun",1,0)</f>
        <v>0</v>
      </c>
      <c r="K15">
        <f>IF(B15="Jul",1,0)</f>
        <v>0</v>
      </c>
      <c r="L15">
        <f>IF(B15="Aug",1,0)</f>
        <v>0</v>
      </c>
      <c r="M15">
        <f>IF(B15="Sep",1,0)</f>
        <v>0</v>
      </c>
      <c r="N15">
        <f>IF(B15="Oct",1,0)</f>
        <v>0</v>
      </c>
      <c r="O15">
        <f>IF(B15="Nov",1,0)</f>
        <v>0</v>
      </c>
    </row>
    <row r="16" spans="1:33" x14ac:dyDescent="0.2">
      <c r="B16" s="2" t="s">
        <v>2</v>
      </c>
      <c r="C16">
        <v>247</v>
      </c>
      <c r="D16">
        <v>15</v>
      </c>
      <c r="E16">
        <f>IF(B16="Jan",1,0)</f>
        <v>0</v>
      </c>
      <c r="F16">
        <f>IF(B16="Feb",1,0)</f>
        <v>0</v>
      </c>
      <c r="G16">
        <f>IF(B16="Mar",1,0)</f>
        <v>1</v>
      </c>
      <c r="H16">
        <f>IF(B16="Apr",1,0)</f>
        <v>0</v>
      </c>
      <c r="I16">
        <f>IF(B16="may",1,0)</f>
        <v>0</v>
      </c>
      <c r="J16">
        <f>IF(B16="Jun",1,0)</f>
        <v>0</v>
      </c>
      <c r="K16">
        <f>IF(B16="Jul",1,0)</f>
        <v>0</v>
      </c>
      <c r="L16">
        <f>IF(B16="Aug",1,0)</f>
        <v>0</v>
      </c>
      <c r="M16">
        <f>IF(B16="Sep",1,0)</f>
        <v>0</v>
      </c>
      <c r="N16">
        <f>IF(B16="Oct",1,0)</f>
        <v>0</v>
      </c>
      <c r="O16">
        <f>IF(B16="Nov",1,0)</f>
        <v>0</v>
      </c>
      <c r="Y16" s="5"/>
      <c r="Z16" s="5" t="s">
        <v>43</v>
      </c>
      <c r="AA16" s="5" t="s">
        <v>31</v>
      </c>
      <c r="AB16" s="5" t="s">
        <v>44</v>
      </c>
      <c r="AC16" s="5" t="s">
        <v>45</v>
      </c>
      <c r="AD16" s="5" t="s">
        <v>46</v>
      </c>
      <c r="AE16" s="5" t="s">
        <v>47</v>
      </c>
      <c r="AF16" s="5" t="s">
        <v>48</v>
      </c>
      <c r="AG16" s="5" t="s">
        <v>49</v>
      </c>
    </row>
    <row r="17" spans="1:33" x14ac:dyDescent="0.2">
      <c r="B17" s="2" t="s">
        <v>3</v>
      </c>
      <c r="C17">
        <v>193</v>
      </c>
      <c r="D17">
        <v>16</v>
      </c>
      <c r="E17">
        <f>IF(B17="Jan",1,0)</f>
        <v>0</v>
      </c>
      <c r="F17">
        <f>IF(B17="Feb",1,0)</f>
        <v>0</v>
      </c>
      <c r="G17">
        <f>IF(B17="Mar",1,0)</f>
        <v>0</v>
      </c>
      <c r="H17">
        <f>IF(B17="Apr",1,0)</f>
        <v>1</v>
      </c>
      <c r="I17">
        <f>IF(B17="may",1,0)</f>
        <v>0</v>
      </c>
      <c r="J17">
        <f>IF(B17="Jun",1,0)</f>
        <v>0</v>
      </c>
      <c r="K17">
        <f>IF(B17="Jul",1,0)</f>
        <v>0</v>
      </c>
      <c r="L17">
        <f>IF(B17="Aug",1,0)</f>
        <v>0</v>
      </c>
      <c r="M17">
        <f>IF(B17="Sep",1,0)</f>
        <v>0</v>
      </c>
      <c r="N17">
        <f>IF(B17="Oct",1,0)</f>
        <v>0</v>
      </c>
      <c r="O17">
        <f>IF(B17="Nov",1,0)</f>
        <v>0</v>
      </c>
      <c r="Y17" t="s">
        <v>37</v>
      </c>
      <c r="Z17" s="7">
        <v>199.24999999999997</v>
      </c>
      <c r="AA17" s="10">
        <v>3.1402886879199983</v>
      </c>
      <c r="AB17">
        <v>63.449580532665998</v>
      </c>
      <c r="AC17" s="10">
        <v>2.4720172572003094E-27</v>
      </c>
      <c r="AD17">
        <v>192.75381790682141</v>
      </c>
      <c r="AE17">
        <v>205.74618209317853</v>
      </c>
      <c r="AF17">
        <v>192.75381790682141</v>
      </c>
      <c r="AG17">
        <v>205.74618209317853</v>
      </c>
    </row>
    <row r="18" spans="1:33" x14ac:dyDescent="0.2">
      <c r="B18" s="2" t="s">
        <v>4</v>
      </c>
      <c r="C18">
        <v>193</v>
      </c>
      <c r="D18">
        <v>17</v>
      </c>
      <c r="E18">
        <f>IF(B18="Jan",1,0)</f>
        <v>0</v>
      </c>
      <c r="F18">
        <f>IF(B18="Feb",1,0)</f>
        <v>0</v>
      </c>
      <c r="G18">
        <f>IF(B18="Mar",1,0)</f>
        <v>0</v>
      </c>
      <c r="H18">
        <f>IF(B18="Apr",1,0)</f>
        <v>0</v>
      </c>
      <c r="I18">
        <f>IF(B18="may",1,0)</f>
        <v>1</v>
      </c>
      <c r="J18">
        <f>IF(B18="Jun",1,0)</f>
        <v>0</v>
      </c>
      <c r="K18">
        <f>IF(B18="Jul",1,0)</f>
        <v>0</v>
      </c>
      <c r="L18">
        <f>IF(B18="Aug",1,0)</f>
        <v>0</v>
      </c>
      <c r="M18">
        <f>IF(B18="Sep",1,0)</f>
        <v>0</v>
      </c>
      <c r="N18">
        <f>IF(B18="Oct",1,0)</f>
        <v>0</v>
      </c>
      <c r="O18">
        <f>IF(B18="Nov",1,0)</f>
        <v>0</v>
      </c>
      <c r="Y18" t="s">
        <v>14</v>
      </c>
      <c r="Z18" s="7">
        <v>1.0173611111111118</v>
      </c>
      <c r="AA18" s="10">
        <v>7.5543604970989484E-2</v>
      </c>
      <c r="AB18">
        <v>13.467203630298055</v>
      </c>
      <c r="AC18" s="10">
        <v>2.1393730127150388E-12</v>
      </c>
      <c r="AD18">
        <v>0.86108725776938411</v>
      </c>
      <c r="AE18">
        <v>1.1736349644528394</v>
      </c>
      <c r="AF18">
        <v>0.86108725776938411</v>
      </c>
      <c r="AG18">
        <v>1.1736349644528394</v>
      </c>
    </row>
    <row r="19" spans="1:33" x14ac:dyDescent="0.2">
      <c r="B19" s="2" t="s">
        <v>5</v>
      </c>
      <c r="C19">
        <v>149</v>
      </c>
      <c r="D19">
        <v>18</v>
      </c>
      <c r="E19">
        <f>IF(B19="Jan",1,0)</f>
        <v>0</v>
      </c>
      <c r="F19">
        <f>IF(B19="Feb",1,0)</f>
        <v>0</v>
      </c>
      <c r="G19">
        <f>IF(B19="Mar",1,0)</f>
        <v>0</v>
      </c>
      <c r="H19">
        <f>IF(B19="Apr",1,0)</f>
        <v>0</v>
      </c>
      <c r="I19">
        <f>IF(B19="may",1,0)</f>
        <v>0</v>
      </c>
      <c r="J19">
        <f>IF(B19="Jun",1,0)</f>
        <v>1</v>
      </c>
      <c r="K19">
        <f>IF(B19="Jul",1,0)</f>
        <v>0</v>
      </c>
      <c r="L19">
        <f>IF(B19="Aug",1,0)</f>
        <v>0</v>
      </c>
      <c r="M19">
        <f>IF(B19="Sep",1,0)</f>
        <v>0</v>
      </c>
      <c r="N19">
        <f>IF(B19="Oct",1,0)</f>
        <v>0</v>
      </c>
      <c r="O19">
        <f>IF(B19="Nov",1,0)</f>
        <v>0</v>
      </c>
      <c r="Y19" t="s">
        <v>15</v>
      </c>
      <c r="Z19" s="7">
        <v>49.857638888888843</v>
      </c>
      <c r="AA19" s="10">
        <v>3.7200911159716612</v>
      </c>
      <c r="AB19">
        <v>13.402262830292635</v>
      </c>
      <c r="AC19" s="10">
        <v>2.3622686813614214E-12</v>
      </c>
      <c r="AD19">
        <v>42.162044090381769</v>
      </c>
      <c r="AE19">
        <v>57.553233687395917</v>
      </c>
      <c r="AF19">
        <v>42.162044090381769</v>
      </c>
      <c r="AG19">
        <v>57.553233687395917</v>
      </c>
    </row>
    <row r="20" spans="1:33" x14ac:dyDescent="0.2">
      <c r="B20" s="2" t="s">
        <v>6</v>
      </c>
      <c r="C20">
        <v>157</v>
      </c>
      <c r="D20">
        <v>19</v>
      </c>
      <c r="E20">
        <f>IF(B20="Jan",1,0)</f>
        <v>0</v>
      </c>
      <c r="F20">
        <f>IF(B20="Feb",1,0)</f>
        <v>0</v>
      </c>
      <c r="G20">
        <f>IF(B20="Mar",1,0)</f>
        <v>0</v>
      </c>
      <c r="H20">
        <f>IF(B20="Apr",1,0)</f>
        <v>0</v>
      </c>
      <c r="I20">
        <f>IF(B20="may",1,0)</f>
        <v>0</v>
      </c>
      <c r="J20">
        <f>IF(B20="Jun",1,0)</f>
        <v>0</v>
      </c>
      <c r="K20">
        <f>IF(B20="Jul",1,0)</f>
        <v>1</v>
      </c>
      <c r="L20">
        <f>IF(B20="Aug",1,0)</f>
        <v>0</v>
      </c>
      <c r="M20">
        <f>IF(B20="Sep",1,0)</f>
        <v>0</v>
      </c>
      <c r="N20">
        <f>IF(B20="Oct",1,0)</f>
        <v>0</v>
      </c>
      <c r="O20">
        <f>IF(B20="Nov",1,0)</f>
        <v>0</v>
      </c>
      <c r="Y20" t="s">
        <v>16</v>
      </c>
      <c r="Z20" s="7">
        <v>29.173611111111121</v>
      </c>
      <c r="AA20" s="10">
        <v>3.7039484809914711</v>
      </c>
      <c r="AB20">
        <v>7.8763544527762823</v>
      </c>
      <c r="AC20" s="10">
        <v>5.5973376205363643E-8</v>
      </c>
      <c r="AD20">
        <v>21.511409897308038</v>
      </c>
      <c r="AE20">
        <v>36.835812324914201</v>
      </c>
      <c r="AF20">
        <v>21.511409897308038</v>
      </c>
      <c r="AG20">
        <v>36.835812324914201</v>
      </c>
    </row>
    <row r="21" spans="1:33" x14ac:dyDescent="0.2">
      <c r="B21" s="2" t="s">
        <v>7</v>
      </c>
      <c r="C21">
        <v>161</v>
      </c>
      <c r="D21">
        <v>20</v>
      </c>
      <c r="E21">
        <f>IF(B21="Jan",1,0)</f>
        <v>0</v>
      </c>
      <c r="F21">
        <f>IF(B21="Feb",1,0)</f>
        <v>0</v>
      </c>
      <c r="G21">
        <f>IF(B21="Mar",1,0)</f>
        <v>0</v>
      </c>
      <c r="H21">
        <f>IF(B21="Apr",1,0)</f>
        <v>0</v>
      </c>
      <c r="I21">
        <f>IF(B21="may",1,0)</f>
        <v>0</v>
      </c>
      <c r="J21">
        <f>IF(B21="Jun",1,0)</f>
        <v>0</v>
      </c>
      <c r="K21">
        <f>IF(B21="Jul",1,0)</f>
        <v>0</v>
      </c>
      <c r="L21">
        <f>IF(B21="Aug",1,0)</f>
        <v>1</v>
      </c>
      <c r="M21">
        <f>IF(B21="Sep",1,0)</f>
        <v>0</v>
      </c>
      <c r="N21">
        <f>IF(B21="Oct",1,0)</f>
        <v>0</v>
      </c>
      <c r="O21">
        <f>IF(B21="Nov",1,0)</f>
        <v>0</v>
      </c>
      <c r="Y21" t="s">
        <v>17</v>
      </c>
      <c r="Z21" s="7">
        <v>33.489583333333307</v>
      </c>
      <c r="AA21" s="10">
        <v>3.6892823775160908</v>
      </c>
      <c r="AB21">
        <v>9.0775332182301192</v>
      </c>
      <c r="AC21" s="10">
        <v>4.5941874167709742E-9</v>
      </c>
      <c r="AD21">
        <v>25.857721266099762</v>
      </c>
      <c r="AE21">
        <v>41.121445400566849</v>
      </c>
      <c r="AF21">
        <v>25.857721266099762</v>
      </c>
      <c r="AG21">
        <v>41.121445400566849</v>
      </c>
    </row>
    <row r="22" spans="1:33" x14ac:dyDescent="0.2">
      <c r="B22" s="2" t="s">
        <v>8</v>
      </c>
      <c r="C22">
        <v>122</v>
      </c>
      <c r="D22">
        <v>21</v>
      </c>
      <c r="E22">
        <f>IF(B22="Jan",1,0)</f>
        <v>0</v>
      </c>
      <c r="F22">
        <f>IF(B22="Feb",1,0)</f>
        <v>0</v>
      </c>
      <c r="G22">
        <f>IF(B22="Mar",1,0)</f>
        <v>0</v>
      </c>
      <c r="H22">
        <f>IF(B22="Apr",1,0)</f>
        <v>0</v>
      </c>
      <c r="I22">
        <f>IF(B22="may",1,0)</f>
        <v>0</v>
      </c>
      <c r="J22">
        <f>IF(B22="Jun",1,0)</f>
        <v>0</v>
      </c>
      <c r="K22">
        <f>IF(B22="Jul",1,0)</f>
        <v>0</v>
      </c>
      <c r="L22">
        <f>IF(B22="Aug",1,0)</f>
        <v>0</v>
      </c>
      <c r="M22">
        <f>IF(B22="Sep",1,0)</f>
        <v>1</v>
      </c>
      <c r="N22">
        <f>IF(B22="Oct",1,0)</f>
        <v>0</v>
      </c>
      <c r="O22">
        <f>IF(B22="Nov",1,0)</f>
        <v>0</v>
      </c>
      <c r="Y22" t="s">
        <v>18</v>
      </c>
      <c r="Z22" s="7">
        <v>-23.527777777777782</v>
      </c>
      <c r="AA22" s="10">
        <v>3.6761104777694822</v>
      </c>
      <c r="AB22">
        <v>-6.400182453725793</v>
      </c>
      <c r="AC22" s="10">
        <v>1.5688108029570591E-6</v>
      </c>
      <c r="AD22">
        <v>-31.132391694356826</v>
      </c>
      <c r="AE22">
        <v>-15.923163861198736</v>
      </c>
      <c r="AF22">
        <v>-31.132391694356826</v>
      </c>
      <c r="AG22">
        <v>-15.923163861198736</v>
      </c>
    </row>
    <row r="23" spans="1:33" x14ac:dyDescent="0.2">
      <c r="B23" s="2" t="s">
        <v>9</v>
      </c>
      <c r="C23">
        <v>130</v>
      </c>
      <c r="D23">
        <v>22</v>
      </c>
      <c r="E23">
        <f>IF(B23="Jan",1,0)</f>
        <v>0</v>
      </c>
      <c r="F23">
        <f>IF(B23="Feb",1,0)</f>
        <v>0</v>
      </c>
      <c r="G23">
        <f>IF(B23="Mar",1,0)</f>
        <v>0</v>
      </c>
      <c r="H23">
        <f>IF(B23="Apr",1,0)</f>
        <v>0</v>
      </c>
      <c r="I23">
        <f>IF(B23="may",1,0)</f>
        <v>0</v>
      </c>
      <c r="J23">
        <f>IF(B23="Jun",1,0)</f>
        <v>0</v>
      </c>
      <c r="K23">
        <f>IF(B23="Jul",1,0)</f>
        <v>0</v>
      </c>
      <c r="L23">
        <f>IF(B23="Aug",1,0)</f>
        <v>0</v>
      </c>
      <c r="M23">
        <f>IF(B23="Sep",1,0)</f>
        <v>0</v>
      </c>
      <c r="N23">
        <f>IF(B23="Oct",1,0)</f>
        <v>1</v>
      </c>
      <c r="O23">
        <f>IF(B23="Nov",1,0)</f>
        <v>0</v>
      </c>
      <c r="Y23" t="s">
        <v>19</v>
      </c>
      <c r="Z23" s="7">
        <v>-20.878472222222221</v>
      </c>
      <c r="AA23" s="10">
        <v>3.6644488945796976</v>
      </c>
      <c r="AB23">
        <v>-5.6975749486109084</v>
      </c>
      <c r="AC23" s="10">
        <v>8.4131811625011761E-6</v>
      </c>
      <c r="AD23">
        <v>-28.458962315986184</v>
      </c>
      <c r="AE23">
        <v>-13.297982128458258</v>
      </c>
      <c r="AF23">
        <v>-28.458962315986184</v>
      </c>
      <c r="AG23">
        <v>-13.297982128458258</v>
      </c>
    </row>
    <row r="24" spans="1:33" x14ac:dyDescent="0.2">
      <c r="B24" s="2" t="s">
        <v>10</v>
      </c>
      <c r="C24">
        <v>167</v>
      </c>
      <c r="D24">
        <v>23</v>
      </c>
      <c r="E24">
        <f>IF(B24="Jan",1,0)</f>
        <v>0</v>
      </c>
      <c r="F24">
        <f>IF(B24="Feb",1,0)</f>
        <v>0</v>
      </c>
      <c r="G24">
        <f>IF(B24="Mar",1,0)</f>
        <v>0</v>
      </c>
      <c r="H24">
        <f>IF(B24="Apr",1,0)</f>
        <v>0</v>
      </c>
      <c r="I24">
        <f>IF(B24="may",1,0)</f>
        <v>0</v>
      </c>
      <c r="J24">
        <f>IF(B24="Jun",1,0)</f>
        <v>0</v>
      </c>
      <c r="K24">
        <f>IF(B24="Jul",1,0)</f>
        <v>0</v>
      </c>
      <c r="L24">
        <f>IF(B24="Aug",1,0)</f>
        <v>0</v>
      </c>
      <c r="M24">
        <f>IF(B24="Sep",1,0)</f>
        <v>0</v>
      </c>
      <c r="N24">
        <f>IF(B24="Oct",1,0)</f>
        <v>0</v>
      </c>
      <c r="O24">
        <f>IF(B24="Nov",1,0)</f>
        <v>1</v>
      </c>
      <c r="Y24" t="s">
        <v>20</v>
      </c>
      <c r="Z24" s="7">
        <v>-67.895833333333343</v>
      </c>
      <c r="AA24" s="10">
        <v>3.6543120870705885</v>
      </c>
      <c r="AB24">
        <v>-18.579648293739677</v>
      </c>
      <c r="AC24" s="10">
        <v>2.3937254265292167E-15</v>
      </c>
      <c r="AD24">
        <v>-75.455353843098237</v>
      </c>
      <c r="AE24">
        <v>-60.336312823568448</v>
      </c>
      <c r="AF24">
        <v>-75.455353843098237</v>
      </c>
      <c r="AG24">
        <v>-60.336312823568448</v>
      </c>
    </row>
    <row r="25" spans="1:33" x14ac:dyDescent="0.2">
      <c r="B25" s="2" t="s">
        <v>11</v>
      </c>
      <c r="C25">
        <v>230</v>
      </c>
      <c r="D25">
        <v>24</v>
      </c>
      <c r="E25">
        <f>IF(B25="Jan",1,0)</f>
        <v>0</v>
      </c>
      <c r="F25">
        <f>IF(B25="Feb",1,0)</f>
        <v>0</v>
      </c>
      <c r="G25">
        <f>IF(B25="Mar",1,0)</f>
        <v>0</v>
      </c>
      <c r="H25">
        <f>IF(B25="Apr",1,0)</f>
        <v>0</v>
      </c>
      <c r="I25">
        <f>IF(B25="may",1,0)</f>
        <v>0</v>
      </c>
      <c r="J25">
        <f>IF(B25="Jun",1,0)</f>
        <v>0</v>
      </c>
      <c r="K25">
        <f>IF(B25="Jul",1,0)</f>
        <v>0</v>
      </c>
      <c r="L25">
        <f>IF(B25="Aug",1,0)</f>
        <v>0</v>
      </c>
      <c r="M25">
        <f>IF(B25="Sep",1,0)</f>
        <v>0</v>
      </c>
      <c r="N25">
        <f>IF(B25="Oct",1,0)</f>
        <v>0</v>
      </c>
      <c r="O25">
        <f>IF(B25="Nov",1,0)</f>
        <v>0</v>
      </c>
      <c r="Y25" t="s">
        <v>21</v>
      </c>
      <c r="Z25" s="7">
        <v>-62.5798611111111</v>
      </c>
      <c r="AA25" s="10">
        <v>3.6457127740591484</v>
      </c>
      <c r="AB25">
        <v>-17.165329522499515</v>
      </c>
      <c r="AC25" s="10">
        <v>1.3146587497069986E-14</v>
      </c>
      <c r="AD25">
        <v>-70.1215925865705</v>
      </c>
      <c r="AE25">
        <v>-55.0381296356517</v>
      </c>
      <c r="AF25">
        <v>-70.1215925865705</v>
      </c>
      <c r="AG25">
        <v>-55.0381296356517</v>
      </c>
    </row>
    <row r="26" spans="1:33" x14ac:dyDescent="0.2">
      <c r="A26">
        <v>3</v>
      </c>
      <c r="B26" s="2" t="s">
        <v>0</v>
      </c>
      <c r="C26">
        <v>282</v>
      </c>
      <c r="D26">
        <v>25</v>
      </c>
      <c r="E26">
        <f>IF(B26="Jan",1,0)</f>
        <v>1</v>
      </c>
      <c r="F26">
        <f>IF(B26="Feb",1,0)</f>
        <v>0</v>
      </c>
      <c r="G26">
        <f>IF(B26="Mar",1,0)</f>
        <v>0</v>
      </c>
      <c r="H26">
        <f>IF(B26="Apr",1,0)</f>
        <v>0</v>
      </c>
      <c r="I26">
        <f>IF(B26="may",1,0)</f>
        <v>0</v>
      </c>
      <c r="J26">
        <f>IF(B26="Jun",1,0)</f>
        <v>0</v>
      </c>
      <c r="K26">
        <f>IF(B26="Jul",1,0)</f>
        <v>0</v>
      </c>
      <c r="L26">
        <f>IF(B26="Aug",1,0)</f>
        <v>0</v>
      </c>
      <c r="M26">
        <f>IF(B26="Sep",1,0)</f>
        <v>0</v>
      </c>
      <c r="N26">
        <f>IF(B26="Oct",1,0)</f>
        <v>0</v>
      </c>
      <c r="O26">
        <f>IF(B26="Nov",1,0)</f>
        <v>0</v>
      </c>
      <c r="Y26" t="s">
        <v>22</v>
      </c>
      <c r="Z26" s="7">
        <v>-57.263888888888893</v>
      </c>
      <c r="AA26" s="10">
        <v>3.638661856324374</v>
      </c>
      <c r="AB26">
        <v>-15.737623101569133</v>
      </c>
      <c r="AC26" s="10">
        <v>8.3329311978198504E-14</v>
      </c>
      <c r="AD26">
        <v>-64.791034429715808</v>
      </c>
      <c r="AE26">
        <v>-49.736743348061971</v>
      </c>
      <c r="AF26">
        <v>-64.791034429715808</v>
      </c>
      <c r="AG26">
        <v>-49.736743348061971</v>
      </c>
    </row>
    <row r="27" spans="1:33" x14ac:dyDescent="0.2">
      <c r="B27" s="2" t="s">
        <v>1</v>
      </c>
      <c r="C27">
        <v>255</v>
      </c>
      <c r="D27">
        <v>26</v>
      </c>
      <c r="E27">
        <f>IF(B27="Jan",1,0)</f>
        <v>0</v>
      </c>
      <c r="F27">
        <f>IF(B27="Feb",1,0)</f>
        <v>1</v>
      </c>
      <c r="G27">
        <f>IF(B27="Mar",1,0)</f>
        <v>0</v>
      </c>
      <c r="H27">
        <f>IF(B27="Apr",1,0)</f>
        <v>0</v>
      </c>
      <c r="I27">
        <f>IF(B27="may",1,0)</f>
        <v>0</v>
      </c>
      <c r="J27">
        <f>IF(B27="Jun",1,0)</f>
        <v>0</v>
      </c>
      <c r="K27">
        <f>IF(B27="Jul",1,0)</f>
        <v>0</v>
      </c>
      <c r="L27">
        <f>IF(B27="Aug",1,0)</f>
        <v>0</v>
      </c>
      <c r="M27">
        <f>IF(B27="Sep",1,0)</f>
        <v>0</v>
      </c>
      <c r="N27">
        <f>IF(B27="Oct",1,0)</f>
        <v>0</v>
      </c>
      <c r="O27">
        <f>IF(B27="Nov",1,0)</f>
        <v>0</v>
      </c>
      <c r="Y27" t="s">
        <v>23</v>
      </c>
      <c r="Z27" s="7">
        <v>-101.28124999999997</v>
      </c>
      <c r="AA27" s="10">
        <v>3.6331683488252846</v>
      </c>
      <c r="AB27">
        <v>-27.87683924218577</v>
      </c>
      <c r="AC27" s="10">
        <v>3.1316658346077679E-19</v>
      </c>
      <c r="AD27">
        <v>-108.797031354731</v>
      </c>
      <c r="AE27">
        <v>-93.765468645268939</v>
      </c>
      <c r="AF27">
        <v>-108.797031354731</v>
      </c>
      <c r="AG27">
        <v>-93.765468645268939</v>
      </c>
    </row>
    <row r="28" spans="1:33" x14ac:dyDescent="0.2">
      <c r="B28" s="2" t="s">
        <v>2</v>
      </c>
      <c r="C28">
        <v>265</v>
      </c>
      <c r="D28">
        <v>27</v>
      </c>
      <c r="E28">
        <f>IF(B28="Jan",1,0)</f>
        <v>0</v>
      </c>
      <c r="F28">
        <f>IF(B28="Feb",1,0)</f>
        <v>0</v>
      </c>
      <c r="G28">
        <f>IF(B28="Mar",1,0)</f>
        <v>1</v>
      </c>
      <c r="H28">
        <f>IF(B28="Apr",1,0)</f>
        <v>0</v>
      </c>
      <c r="I28">
        <f>IF(B28="may",1,0)</f>
        <v>0</v>
      </c>
      <c r="J28">
        <f>IF(B28="Jun",1,0)</f>
        <v>0</v>
      </c>
      <c r="K28">
        <f>IF(B28="Jul",1,0)</f>
        <v>0</v>
      </c>
      <c r="L28">
        <f>IF(B28="Aug",1,0)</f>
        <v>0</v>
      </c>
      <c r="M28">
        <f>IF(B28="Sep",1,0)</f>
        <v>0</v>
      </c>
      <c r="N28">
        <f>IF(B28="Oct",1,0)</f>
        <v>0</v>
      </c>
      <c r="O28">
        <f>IF(B28="Nov",1,0)</f>
        <v>0</v>
      </c>
      <c r="Y28" t="s">
        <v>24</v>
      </c>
      <c r="Z28" s="7">
        <v>-85.631944444444485</v>
      </c>
      <c r="AA28" s="10">
        <v>3.6292393238316194</v>
      </c>
      <c r="AB28">
        <v>-23.595011737621476</v>
      </c>
      <c r="AC28" s="10">
        <v>1.2801271292340549E-17</v>
      </c>
      <c r="AD28">
        <v>-93.139597991720848</v>
      </c>
      <c r="AE28">
        <v>-78.124290897168123</v>
      </c>
      <c r="AF28">
        <v>-93.139597991720848</v>
      </c>
      <c r="AG28">
        <v>-78.124290897168123</v>
      </c>
    </row>
    <row r="29" spans="1:33" ht="17" thickBot="1" x14ac:dyDescent="0.25">
      <c r="B29" s="2" t="s">
        <v>3</v>
      </c>
      <c r="C29">
        <v>205</v>
      </c>
      <c r="D29">
        <v>28</v>
      </c>
      <c r="E29">
        <f>IF(B29="Jan",1,0)</f>
        <v>0</v>
      </c>
      <c r="F29">
        <f>IF(B29="Feb",1,0)</f>
        <v>0</v>
      </c>
      <c r="G29">
        <f>IF(B29="Mar",1,0)</f>
        <v>0</v>
      </c>
      <c r="H29">
        <f>IF(B29="Apr",1,0)</f>
        <v>1</v>
      </c>
      <c r="I29">
        <f>IF(B29="may",1,0)</f>
        <v>0</v>
      </c>
      <c r="J29">
        <f>IF(B29="Jun",1,0)</f>
        <v>0</v>
      </c>
      <c r="K29">
        <f>IF(B29="Jul",1,0)</f>
        <v>0</v>
      </c>
      <c r="L29">
        <f>IF(B29="Aug",1,0)</f>
        <v>0</v>
      </c>
      <c r="M29">
        <f>IF(B29="Sep",1,0)</f>
        <v>0</v>
      </c>
      <c r="N29">
        <f>IF(B29="Oct",1,0)</f>
        <v>0</v>
      </c>
      <c r="O29">
        <f>IF(B29="Nov",1,0)</f>
        <v>0</v>
      </c>
      <c r="Y29" s="4" t="s">
        <v>25</v>
      </c>
      <c r="Z29" s="8">
        <v>-58.649305555555593</v>
      </c>
      <c r="AA29" s="19">
        <v>3.6268798657923242</v>
      </c>
      <c r="AB29" s="4">
        <v>-16.170732895985548</v>
      </c>
      <c r="AC29" s="19">
        <v>4.6903018512724601E-14</v>
      </c>
      <c r="AD29" s="4">
        <v>-66.152078192002506</v>
      </c>
      <c r="AE29" s="4">
        <v>-51.146532919108679</v>
      </c>
      <c r="AF29" s="4">
        <v>-66.152078192002506</v>
      </c>
      <c r="AG29" s="4">
        <v>-51.146532919108679</v>
      </c>
    </row>
    <row r="30" spans="1:33" x14ac:dyDescent="0.2">
      <c r="B30" s="2" t="s">
        <v>4</v>
      </c>
      <c r="C30">
        <v>210</v>
      </c>
      <c r="D30">
        <v>29</v>
      </c>
      <c r="E30">
        <f>IF(B30="Jan",1,0)</f>
        <v>0</v>
      </c>
      <c r="F30">
        <f>IF(B30="Feb",1,0)</f>
        <v>0</v>
      </c>
      <c r="G30">
        <f>IF(B30="Mar",1,0)</f>
        <v>0</v>
      </c>
      <c r="H30">
        <f>IF(B30="Apr",1,0)</f>
        <v>0</v>
      </c>
      <c r="I30">
        <f>IF(B30="may",1,0)</f>
        <v>1</v>
      </c>
      <c r="J30">
        <f>IF(B30="Jun",1,0)</f>
        <v>0</v>
      </c>
      <c r="K30">
        <f>IF(B30="Jul",1,0)</f>
        <v>0</v>
      </c>
      <c r="L30">
        <f>IF(B30="Aug",1,0)</f>
        <v>0</v>
      </c>
      <c r="M30">
        <f>IF(B30="Sep",1,0)</f>
        <v>0</v>
      </c>
      <c r="N30">
        <f>IF(B30="Oct",1,0)</f>
        <v>0</v>
      </c>
      <c r="O30">
        <f>IF(B30="Nov",1,0)</f>
        <v>0</v>
      </c>
    </row>
    <row r="31" spans="1:33" x14ac:dyDescent="0.2">
      <c r="B31" s="2" t="s">
        <v>5</v>
      </c>
      <c r="C31">
        <v>160</v>
      </c>
      <c r="D31">
        <v>30</v>
      </c>
      <c r="E31">
        <f>IF(B31="Jan",1,0)</f>
        <v>0</v>
      </c>
      <c r="F31">
        <f>IF(B31="Feb",1,0)</f>
        <v>0</v>
      </c>
      <c r="G31">
        <f>IF(B31="Mar",1,0)</f>
        <v>0</v>
      </c>
      <c r="H31">
        <f>IF(B31="Apr",1,0)</f>
        <v>0</v>
      </c>
      <c r="I31">
        <f>IF(B31="may",1,0)</f>
        <v>0</v>
      </c>
      <c r="J31">
        <f>IF(B31="Jun",1,0)</f>
        <v>1</v>
      </c>
      <c r="K31">
        <f>IF(B31="Jul",1,0)</f>
        <v>0</v>
      </c>
      <c r="L31">
        <f>IF(B31="Aug",1,0)</f>
        <v>0</v>
      </c>
      <c r="M31">
        <f>IF(B31="Sep",1,0)</f>
        <v>0</v>
      </c>
      <c r="N31">
        <f>IF(B31="Oct",1,0)</f>
        <v>0</v>
      </c>
      <c r="O31">
        <f>IF(B31="Nov",1,0)</f>
        <v>0</v>
      </c>
      <c r="Y31" s="9" t="s">
        <v>60</v>
      </c>
    </row>
    <row r="32" spans="1:33" x14ac:dyDescent="0.2">
      <c r="B32" s="2" t="s">
        <v>6</v>
      </c>
      <c r="C32">
        <v>166</v>
      </c>
      <c r="D32">
        <v>31</v>
      </c>
      <c r="E32">
        <f>IF(B32="Jan",1,0)</f>
        <v>0</v>
      </c>
      <c r="F32">
        <f>IF(B32="Feb",1,0)</f>
        <v>0</v>
      </c>
      <c r="G32">
        <f>IF(B32="Mar",1,0)</f>
        <v>0</v>
      </c>
      <c r="H32">
        <f>IF(B32="Apr",1,0)</f>
        <v>0</v>
      </c>
      <c r="I32">
        <f>IF(B32="may",1,0)</f>
        <v>0</v>
      </c>
      <c r="J32">
        <f>IF(B32="Jun",1,0)</f>
        <v>0</v>
      </c>
      <c r="K32">
        <f>IF(B32="Jul",1,0)</f>
        <v>1</v>
      </c>
      <c r="L32">
        <f>IF(B32="Aug",1,0)</f>
        <v>0</v>
      </c>
      <c r="M32">
        <f>IF(B32="Sep",1,0)</f>
        <v>0</v>
      </c>
      <c r="N32">
        <f>IF(B32="Oct",1,0)</f>
        <v>0</v>
      </c>
      <c r="O32">
        <f>IF(B32="Nov",1,0)</f>
        <v>0</v>
      </c>
    </row>
    <row r="33" spans="1:34" x14ac:dyDescent="0.2">
      <c r="B33" s="2" t="s">
        <v>7</v>
      </c>
      <c r="C33">
        <v>174</v>
      </c>
      <c r="D33">
        <v>32</v>
      </c>
      <c r="E33">
        <f>IF(B33="Jan",1,0)</f>
        <v>0</v>
      </c>
      <c r="F33">
        <f>IF(B33="Feb",1,0)</f>
        <v>0</v>
      </c>
      <c r="G33">
        <f>IF(B33="Mar",1,0)</f>
        <v>0</v>
      </c>
      <c r="H33">
        <f>IF(B33="Apr",1,0)</f>
        <v>0</v>
      </c>
      <c r="I33">
        <f>IF(B33="may",1,0)</f>
        <v>0</v>
      </c>
      <c r="J33">
        <f>IF(B33="Jun",1,0)</f>
        <v>0</v>
      </c>
      <c r="K33">
        <f>IF(B33="Jul",1,0)</f>
        <v>0</v>
      </c>
      <c r="L33">
        <f>IF(B33="Aug",1,0)</f>
        <v>1</v>
      </c>
      <c r="M33">
        <f>IF(B33="Sep",1,0)</f>
        <v>0</v>
      </c>
      <c r="N33">
        <f>IF(B33="Oct",1,0)</f>
        <v>0</v>
      </c>
      <c r="O33">
        <f>IF(B33="Nov",1,0)</f>
        <v>0</v>
      </c>
      <c r="AA33" s="38">
        <f>C38/295-1</f>
        <v>-2.7966101694915424E-2</v>
      </c>
      <c r="AB33" s="39">
        <f>295/C38-1</f>
        <v>2.8770706190061279E-2</v>
      </c>
      <c r="AD33" s="37">
        <f>295-C38</f>
        <v>8.2500000000000568</v>
      </c>
    </row>
    <row r="34" spans="1:34" ht="18" x14ac:dyDescent="0.2">
      <c r="B34" s="2" t="s">
        <v>8</v>
      </c>
      <c r="C34">
        <v>126</v>
      </c>
      <c r="D34">
        <v>33</v>
      </c>
      <c r="E34">
        <f>IF(B34="Jan",1,0)</f>
        <v>0</v>
      </c>
      <c r="F34">
        <f>IF(B34="Feb",1,0)</f>
        <v>0</v>
      </c>
      <c r="G34">
        <f>IF(B34="Mar",1,0)</f>
        <v>0</v>
      </c>
      <c r="H34">
        <f>IF(B34="Apr",1,0)</f>
        <v>0</v>
      </c>
      <c r="I34">
        <f>IF(B34="may",1,0)</f>
        <v>0</v>
      </c>
      <c r="J34">
        <f>IF(B34="Jun",1,0)</f>
        <v>0</v>
      </c>
      <c r="K34">
        <f>IF(B34="Jul",1,0)</f>
        <v>0</v>
      </c>
      <c r="L34">
        <f>IF(B34="Aug",1,0)</f>
        <v>0</v>
      </c>
      <c r="M34">
        <f>IF(B34="Sep",1,0)</f>
        <v>1</v>
      </c>
      <c r="N34">
        <f>IF(B34="Oct",1,0)</f>
        <v>0</v>
      </c>
      <c r="O34">
        <f>IF(B34="Nov",1,0)</f>
        <v>0</v>
      </c>
      <c r="Y34" s="15" t="s">
        <v>65</v>
      </c>
    </row>
    <row r="35" spans="1:34" ht="16" customHeight="1" x14ac:dyDescent="0.2">
      <c r="B35" s="2" t="s">
        <v>9</v>
      </c>
      <c r="C35">
        <v>148</v>
      </c>
      <c r="D35">
        <v>34</v>
      </c>
      <c r="E35">
        <f>IF(B35="Jan",1,0)</f>
        <v>0</v>
      </c>
      <c r="F35">
        <f>IF(B35="Feb",1,0)</f>
        <v>0</v>
      </c>
      <c r="G35">
        <f>IF(B35="Mar",1,0)</f>
        <v>0</v>
      </c>
      <c r="H35">
        <f>IF(B35="Apr",1,0)</f>
        <v>0</v>
      </c>
      <c r="I35">
        <f>IF(B35="may",1,0)</f>
        <v>0</v>
      </c>
      <c r="J35">
        <f>IF(B35="Jun",1,0)</f>
        <v>0</v>
      </c>
      <c r="K35">
        <f>IF(B35="Jul",1,0)</f>
        <v>0</v>
      </c>
      <c r="L35">
        <f>IF(B35="Aug",1,0)</f>
        <v>0</v>
      </c>
      <c r="M35">
        <f>IF(B35="Sep",1,0)</f>
        <v>0</v>
      </c>
      <c r="N35">
        <f>IF(B35="Oct",1,0)</f>
        <v>1</v>
      </c>
      <c r="O35">
        <f>IF(B35="Nov",1,0)</f>
        <v>0</v>
      </c>
      <c r="Y35" s="18" t="s">
        <v>67</v>
      </c>
      <c r="Z35" s="18"/>
      <c r="AA35" s="18"/>
      <c r="AB35" s="18"/>
      <c r="AC35" s="18"/>
      <c r="AD35" s="18"/>
      <c r="AE35" s="18"/>
      <c r="AF35" s="18"/>
      <c r="AG35" s="18"/>
      <c r="AH35" s="18"/>
    </row>
    <row r="36" spans="1:34" x14ac:dyDescent="0.2">
      <c r="B36" s="2" t="s">
        <v>10</v>
      </c>
      <c r="C36">
        <v>173</v>
      </c>
      <c r="D36">
        <v>35</v>
      </c>
      <c r="E36">
        <f>IF(B36="Jan",1,0)</f>
        <v>0</v>
      </c>
      <c r="F36">
        <f>IF(B36="Feb",1,0)</f>
        <v>0</v>
      </c>
      <c r="G36">
        <f>IF(B36="Mar",1,0)</f>
        <v>0</v>
      </c>
      <c r="H36">
        <f>IF(B36="Apr",1,0)</f>
        <v>0</v>
      </c>
      <c r="I36">
        <f>IF(B36="may",1,0)</f>
        <v>0</v>
      </c>
      <c r="J36">
        <f>IF(B36="Jun",1,0)</f>
        <v>0</v>
      </c>
      <c r="K36">
        <f>IF(B36="Jul",1,0)</f>
        <v>0</v>
      </c>
      <c r="L36">
        <f>IF(B36="Aug",1,0)</f>
        <v>0</v>
      </c>
      <c r="M36">
        <f>IF(B36="Sep",1,0)</f>
        <v>0</v>
      </c>
      <c r="N36">
        <f>IF(B36="Oct",1,0)</f>
        <v>0</v>
      </c>
      <c r="O36">
        <f>IF(B36="Nov",1,0)</f>
        <v>1</v>
      </c>
      <c r="Y36" s="18"/>
      <c r="Z36" s="18"/>
      <c r="AA36" s="18"/>
      <c r="AB36" s="18"/>
      <c r="AC36" s="18"/>
      <c r="AD36" s="18"/>
      <c r="AE36" s="18"/>
      <c r="AF36" s="18"/>
      <c r="AG36" s="18"/>
      <c r="AH36" s="18"/>
    </row>
    <row r="37" spans="1:34" x14ac:dyDescent="0.2">
      <c r="B37" s="2" t="s">
        <v>11</v>
      </c>
      <c r="C37">
        <v>235</v>
      </c>
      <c r="D37">
        <v>36</v>
      </c>
      <c r="E37">
        <f>IF(B37="Jan",1,0)</f>
        <v>0</v>
      </c>
      <c r="F37">
        <f>IF(B37="Feb",1,0)</f>
        <v>0</v>
      </c>
      <c r="G37">
        <f>IF(B37="Mar",1,0)</f>
        <v>0</v>
      </c>
      <c r="H37">
        <f>IF(B37="Apr",1,0)</f>
        <v>0</v>
      </c>
      <c r="I37">
        <f>IF(B37="may",1,0)</f>
        <v>0</v>
      </c>
      <c r="J37">
        <f>IF(B37="Jun",1,0)</f>
        <v>0</v>
      </c>
      <c r="K37">
        <f>IF(B37="Jul",1,0)</f>
        <v>0</v>
      </c>
      <c r="L37">
        <f>IF(B37="Aug",1,0)</f>
        <v>0</v>
      </c>
      <c r="M37">
        <f>IF(B37="Sep",1,0)</f>
        <v>0</v>
      </c>
      <c r="N37">
        <f>IF(B37="Oct",1,0)</f>
        <v>0</v>
      </c>
      <c r="O37">
        <f>IF(B37="Nov",1,0)</f>
        <v>0</v>
      </c>
      <c r="Q37" s="3" t="s">
        <v>68</v>
      </c>
      <c r="R37" s="3" t="s">
        <v>51</v>
      </c>
      <c r="S37" s="3" t="s">
        <v>52</v>
      </c>
      <c r="T37" s="3" t="s">
        <v>53</v>
      </c>
      <c r="U37" s="3" t="s">
        <v>54</v>
      </c>
      <c r="Y37" s="18"/>
      <c r="Z37" s="18"/>
      <c r="AA37" s="18"/>
      <c r="AB37" s="18"/>
      <c r="AC37" s="18"/>
      <c r="AD37" s="18"/>
      <c r="AE37" s="18"/>
      <c r="AF37" s="18"/>
      <c r="AG37" s="18"/>
      <c r="AH37" s="18"/>
    </row>
    <row r="38" spans="1:34" x14ac:dyDescent="0.2">
      <c r="A38" s="24">
        <v>4</v>
      </c>
      <c r="B38" s="24" t="s">
        <v>0</v>
      </c>
      <c r="C38" s="25">
        <f>$Z$17+($Z$18*D38)+($Z$19*E38)+($Z$20*F38)+($Z$21*G38)+($Z$22*H38)+($Z$23*I38)+($Z$24*J38)+($Z$25*K38)+($Z$26*L38)+($Z$27*M38)+($Z$28*N38)+($Z$29*O38)</f>
        <v>286.74999999999994</v>
      </c>
      <c r="D38" s="24">
        <v>37</v>
      </c>
      <c r="E38" s="24">
        <f>IF(B38="Jan",1,0)</f>
        <v>1</v>
      </c>
      <c r="F38" s="24">
        <f>IF(B38="Feb",1,0)</f>
        <v>0</v>
      </c>
      <c r="G38" s="24">
        <f>IF(B38="Mar",1,0)</f>
        <v>0</v>
      </c>
      <c r="H38" s="24">
        <f>IF(B38="Apr",1,0)</f>
        <v>0</v>
      </c>
      <c r="I38" s="24">
        <f>IF(B38="may",1,0)</f>
        <v>0</v>
      </c>
      <c r="J38" s="24">
        <f>IF(B38="Jun",1,0)</f>
        <v>0</v>
      </c>
      <c r="K38" s="24">
        <f>IF(B38="Jul",1,0)</f>
        <v>0</v>
      </c>
      <c r="L38" s="24">
        <f>IF(B38="Aug",1,0)</f>
        <v>0</v>
      </c>
      <c r="M38" s="24">
        <f>IF(B38="Sep",1,0)</f>
        <v>0</v>
      </c>
      <c r="N38" s="24">
        <f>IF(B38="Oct",1,0)</f>
        <v>0</v>
      </c>
      <c r="O38" s="24">
        <f>IF(B38="Nov",1,0)</f>
        <v>0</v>
      </c>
      <c r="Q38">
        <v>295</v>
      </c>
      <c r="R38" s="37">
        <f>C38-Q38</f>
        <v>-8.2500000000000568</v>
      </c>
      <c r="S38">
        <f>ABS(R38)</f>
        <v>8.2500000000000568</v>
      </c>
      <c r="T38" s="10">
        <f>R38^2</f>
        <v>68.062500000000938</v>
      </c>
      <c r="U38" s="40">
        <f>S38/Q38</f>
        <v>2.7966101694915448E-2</v>
      </c>
      <c r="Y38" s="18"/>
      <c r="Z38" s="18"/>
      <c r="AA38" s="18"/>
      <c r="AB38" s="18"/>
      <c r="AC38" s="18"/>
      <c r="AD38" s="18"/>
      <c r="AE38" s="18"/>
      <c r="AF38" s="18"/>
      <c r="AG38" s="18"/>
      <c r="AH38" s="18"/>
    </row>
    <row r="39" spans="1:34" x14ac:dyDescent="0.2">
      <c r="A39" s="24"/>
      <c r="B39" s="24" t="s">
        <v>1</v>
      </c>
      <c r="C39" s="25">
        <f>$Z$17+($Z$18*D39)+($Z$19*E39)+($Z$20*F39)+($Z$21*G39)+($Z$22*H39)+($Z$23*I39)+($Z$24*J39)+($Z$25*K39)+($Z$26*L39)+($Z$27*M39)+($Z$28*N39)+($Z$29*O39)</f>
        <v>267.08333333333337</v>
      </c>
      <c r="D39" s="24">
        <v>38</v>
      </c>
      <c r="E39" s="24">
        <f>IF(B39="Jan",1,0)</f>
        <v>0</v>
      </c>
      <c r="F39" s="24">
        <f>IF(B39="Feb",1,0)</f>
        <v>1</v>
      </c>
      <c r="G39" s="24">
        <f>IF(B39="Mar",1,0)</f>
        <v>0</v>
      </c>
      <c r="H39" s="24">
        <f>IF(B39="Apr",1,0)</f>
        <v>0</v>
      </c>
      <c r="I39" s="24">
        <f>IF(B39="may",1,0)</f>
        <v>0</v>
      </c>
      <c r="J39" s="24">
        <f>IF(B39="Jun",1,0)</f>
        <v>0</v>
      </c>
      <c r="K39" s="24">
        <f>IF(B39="Jul",1,0)</f>
        <v>0</v>
      </c>
      <c r="L39" s="24">
        <f>IF(B39="Aug",1,0)</f>
        <v>0</v>
      </c>
      <c r="M39" s="24">
        <f>IF(B39="Sep",1,0)</f>
        <v>0</v>
      </c>
      <c r="N39" s="24">
        <f>IF(B39="Oct",1,0)</f>
        <v>0</v>
      </c>
      <c r="O39" s="24">
        <f>IF(B39="Nov",1,0)</f>
        <v>0</v>
      </c>
      <c r="Y39" s="18"/>
      <c r="Z39" s="18"/>
      <c r="AA39" s="18"/>
      <c r="AB39" s="18"/>
      <c r="AC39" s="18"/>
      <c r="AD39" s="18"/>
      <c r="AE39" s="18"/>
      <c r="AF39" s="18"/>
      <c r="AG39" s="18"/>
      <c r="AH39" s="18"/>
    </row>
    <row r="40" spans="1:34" x14ac:dyDescent="0.2">
      <c r="A40" s="24"/>
      <c r="B40" s="24" t="s">
        <v>2</v>
      </c>
      <c r="C40" s="25">
        <f>$Z$17+($Z$18*D40)+($Z$19*E40)+($Z$20*F40)+($Z$21*G40)+($Z$22*H40)+($Z$23*I40)+($Z$24*J40)+($Z$25*K40)+($Z$26*L40)+($Z$27*M40)+($Z$28*N40)+($Z$29*O40)</f>
        <v>272.41666666666663</v>
      </c>
      <c r="D40" s="24">
        <v>39</v>
      </c>
      <c r="E40" s="24">
        <f>IF(B40="Jan",1,0)</f>
        <v>0</v>
      </c>
      <c r="F40" s="24">
        <f>IF(B40="Feb",1,0)</f>
        <v>0</v>
      </c>
      <c r="G40" s="24">
        <f>IF(B40="Mar",1,0)</f>
        <v>1</v>
      </c>
      <c r="H40" s="24">
        <f>IF(B40="Apr",1,0)</f>
        <v>0</v>
      </c>
      <c r="I40" s="24">
        <f>IF(B40="may",1,0)</f>
        <v>0</v>
      </c>
      <c r="J40" s="24">
        <f>IF(B40="Jun",1,0)</f>
        <v>0</v>
      </c>
      <c r="K40" s="24">
        <f>IF(B40="Jul",1,0)</f>
        <v>0</v>
      </c>
      <c r="L40" s="24">
        <f>IF(B40="Aug",1,0)</f>
        <v>0</v>
      </c>
      <c r="M40" s="24">
        <f>IF(B40="Sep",1,0)</f>
        <v>0</v>
      </c>
      <c r="N40" s="24">
        <f>IF(B40="Oct",1,0)</f>
        <v>0</v>
      </c>
      <c r="O40" s="24">
        <f>IF(B40="Nov",1,0)</f>
        <v>0</v>
      </c>
      <c r="Y40" s="18"/>
      <c r="Z40" s="18"/>
      <c r="AA40" s="18"/>
      <c r="AB40" s="18"/>
      <c r="AC40" s="18"/>
      <c r="AD40" s="18"/>
      <c r="AE40" s="18"/>
      <c r="AF40" s="18"/>
      <c r="AG40" s="18"/>
      <c r="AH40" s="18"/>
    </row>
    <row r="41" spans="1:34" x14ac:dyDescent="0.2">
      <c r="A41" s="24"/>
      <c r="B41" s="24" t="s">
        <v>3</v>
      </c>
      <c r="C41" s="25">
        <f>$Z$17+($Z$18*D41)+($Z$19*E41)+($Z$20*F41)+($Z$21*G41)+($Z$22*H41)+($Z$23*I41)+($Z$24*J41)+($Z$25*K41)+($Z$26*L41)+($Z$27*M41)+($Z$28*N41)+($Z$29*O41)</f>
        <v>216.41666666666669</v>
      </c>
      <c r="D41" s="24">
        <v>40</v>
      </c>
      <c r="E41" s="24">
        <f>IF(B41="Jan",1,0)</f>
        <v>0</v>
      </c>
      <c r="F41" s="24">
        <f>IF(B41="Feb",1,0)</f>
        <v>0</v>
      </c>
      <c r="G41" s="24">
        <f>IF(B41="Mar",1,0)</f>
        <v>0</v>
      </c>
      <c r="H41" s="24">
        <f>IF(B41="Apr",1,0)</f>
        <v>1</v>
      </c>
      <c r="I41" s="24">
        <f>IF(B41="may",1,0)</f>
        <v>0</v>
      </c>
      <c r="J41" s="24">
        <f>IF(B41="Jun",1,0)</f>
        <v>0</v>
      </c>
      <c r="K41" s="24">
        <f>IF(B41="Jul",1,0)</f>
        <v>0</v>
      </c>
      <c r="L41" s="24">
        <f>IF(B41="Aug",1,0)</f>
        <v>0</v>
      </c>
      <c r="M41" s="24">
        <f>IF(B41="Sep",1,0)</f>
        <v>0</v>
      </c>
      <c r="N41" s="24">
        <f>IF(B41="Oct",1,0)</f>
        <v>0</v>
      </c>
      <c r="O41" s="24">
        <f>IF(B41="Nov",1,0)</f>
        <v>0</v>
      </c>
      <c r="Y41" s="18"/>
      <c r="Z41" s="18"/>
      <c r="AA41" s="18"/>
      <c r="AB41" s="18"/>
      <c r="AC41" s="18"/>
      <c r="AD41" s="18"/>
      <c r="AE41" s="18"/>
      <c r="AF41" s="18"/>
      <c r="AG41" s="18"/>
      <c r="AH41" s="18"/>
    </row>
    <row r="42" spans="1:34" x14ac:dyDescent="0.2">
      <c r="A42" s="24"/>
      <c r="B42" s="24" t="s">
        <v>4</v>
      </c>
      <c r="C42" s="25">
        <f>$Z$17+($Z$18*D42)+($Z$19*E42)+($Z$20*F42)+($Z$21*G42)+($Z$22*H42)+($Z$23*I42)+($Z$24*J42)+($Z$25*K42)+($Z$26*L42)+($Z$27*M42)+($Z$28*N42)+($Z$29*O42)</f>
        <v>220.08333333333331</v>
      </c>
      <c r="D42" s="24">
        <v>41</v>
      </c>
      <c r="E42" s="24">
        <f>IF(B42="Jan",1,0)</f>
        <v>0</v>
      </c>
      <c r="F42" s="24">
        <f>IF(B42="Feb",1,0)</f>
        <v>0</v>
      </c>
      <c r="G42" s="24">
        <f>IF(B42="Mar",1,0)</f>
        <v>0</v>
      </c>
      <c r="H42" s="24">
        <f>IF(B42="Apr",1,0)</f>
        <v>0</v>
      </c>
      <c r="I42" s="24">
        <f>IF(B42="may",1,0)</f>
        <v>1</v>
      </c>
      <c r="J42" s="24">
        <f>IF(B42="Jun",1,0)</f>
        <v>0</v>
      </c>
      <c r="K42" s="24">
        <f>IF(B42="Jul",1,0)</f>
        <v>0</v>
      </c>
      <c r="L42" s="24">
        <f>IF(B42="Aug",1,0)</f>
        <v>0</v>
      </c>
      <c r="M42" s="24">
        <f>IF(B42="Sep",1,0)</f>
        <v>0</v>
      </c>
      <c r="N42" s="24">
        <f>IF(B42="Oct",1,0)</f>
        <v>0</v>
      </c>
      <c r="O42" s="24">
        <f>IF(B42="Nov",1,0)</f>
        <v>0</v>
      </c>
      <c r="Y42" s="18"/>
      <c r="Z42" s="18"/>
      <c r="AA42" s="18"/>
      <c r="AB42" s="18"/>
      <c r="AC42" s="18"/>
      <c r="AD42" s="18"/>
      <c r="AE42" s="18"/>
      <c r="AF42" s="18"/>
      <c r="AG42" s="18"/>
      <c r="AH42" s="18"/>
    </row>
    <row r="43" spans="1:34" x14ac:dyDescent="0.2">
      <c r="A43" s="24"/>
      <c r="B43" s="24" t="s">
        <v>5</v>
      </c>
      <c r="C43" s="25">
        <f>$Z$17+($Z$18*D43)+($Z$19*E43)+($Z$20*F43)+($Z$21*G43)+($Z$22*H43)+($Z$23*I43)+($Z$24*J43)+($Z$25*K43)+($Z$26*L43)+($Z$27*M43)+($Z$28*N43)+($Z$29*O43)</f>
        <v>174.08333333333334</v>
      </c>
      <c r="D43" s="24">
        <v>42</v>
      </c>
      <c r="E43" s="24">
        <f>IF(B43="Jan",1,0)</f>
        <v>0</v>
      </c>
      <c r="F43" s="24">
        <f>IF(B43="Feb",1,0)</f>
        <v>0</v>
      </c>
      <c r="G43" s="24">
        <f>IF(B43="Mar",1,0)</f>
        <v>0</v>
      </c>
      <c r="H43" s="24">
        <f>IF(B43="Apr",1,0)</f>
        <v>0</v>
      </c>
      <c r="I43" s="24">
        <f>IF(B43="may",1,0)</f>
        <v>0</v>
      </c>
      <c r="J43" s="24">
        <f>IF(B43="Jun",1,0)</f>
        <v>1</v>
      </c>
      <c r="K43" s="24">
        <f>IF(B43="Jul",1,0)</f>
        <v>0</v>
      </c>
      <c r="L43" s="24">
        <f>IF(B43="Aug",1,0)</f>
        <v>0</v>
      </c>
      <c r="M43" s="24">
        <f>IF(B43="Sep",1,0)</f>
        <v>0</v>
      </c>
      <c r="N43" s="24">
        <f>IF(B43="Oct",1,0)</f>
        <v>0</v>
      </c>
      <c r="O43" s="24">
        <f>IF(B43="Nov",1,0)</f>
        <v>0</v>
      </c>
      <c r="Y43" s="18"/>
      <c r="Z43" s="18"/>
      <c r="AA43" s="18"/>
      <c r="AB43" s="18"/>
      <c r="AC43" s="18"/>
      <c r="AD43" s="18"/>
      <c r="AE43" s="18"/>
      <c r="AF43" s="18"/>
      <c r="AG43" s="18"/>
      <c r="AH43" s="18"/>
    </row>
    <row r="44" spans="1:34" x14ac:dyDescent="0.2">
      <c r="A44" s="24"/>
      <c r="B44" s="24" t="s">
        <v>6</v>
      </c>
      <c r="C44" s="25">
        <f>$Z$17+($Z$18*D44)+($Z$19*E44)+($Z$20*F44)+($Z$21*G44)+($Z$22*H44)+($Z$23*I44)+($Z$24*J44)+($Z$25*K44)+($Z$26*L44)+($Z$27*M44)+($Z$28*N44)+($Z$29*O44)</f>
        <v>180.41666666666669</v>
      </c>
      <c r="D44" s="24">
        <v>43</v>
      </c>
      <c r="E44" s="24">
        <f>IF(B44="Jan",1,0)</f>
        <v>0</v>
      </c>
      <c r="F44" s="24">
        <f>IF(B44="Feb",1,0)</f>
        <v>0</v>
      </c>
      <c r="G44" s="24">
        <f>IF(B44="Mar",1,0)</f>
        <v>0</v>
      </c>
      <c r="H44" s="24">
        <f>IF(B44="Apr",1,0)</f>
        <v>0</v>
      </c>
      <c r="I44" s="24">
        <f>IF(B44="may",1,0)</f>
        <v>0</v>
      </c>
      <c r="J44" s="24">
        <f>IF(B44="Jun",1,0)</f>
        <v>0</v>
      </c>
      <c r="K44" s="24">
        <f>IF(B44="Jul",1,0)</f>
        <v>1</v>
      </c>
      <c r="L44" s="24">
        <f>IF(B44="Aug",1,0)</f>
        <v>0</v>
      </c>
      <c r="M44" s="24">
        <f>IF(B44="Sep",1,0)</f>
        <v>0</v>
      </c>
      <c r="N44" s="24">
        <f>IF(B44="Oct",1,0)</f>
        <v>0</v>
      </c>
      <c r="O44" s="24">
        <f>IF(B44="Nov",1,0)</f>
        <v>0</v>
      </c>
      <c r="Y44" s="18"/>
      <c r="Z44" s="18"/>
      <c r="AA44" s="18"/>
      <c r="AB44" s="18"/>
      <c r="AC44" s="18"/>
      <c r="AD44" s="18"/>
      <c r="AE44" s="18"/>
      <c r="AF44" s="18"/>
      <c r="AG44" s="18"/>
      <c r="AH44" s="18"/>
    </row>
    <row r="45" spans="1:34" x14ac:dyDescent="0.2">
      <c r="A45" s="24"/>
      <c r="B45" s="24" t="s">
        <v>7</v>
      </c>
      <c r="C45" s="25">
        <f>$Z$17+($Z$18*D45)+($Z$19*E45)+($Z$20*F45)+($Z$21*G45)+($Z$22*H45)+($Z$23*I45)+($Z$24*J45)+($Z$25*K45)+($Z$26*L45)+($Z$27*M45)+($Z$28*N45)+($Z$29*O45)</f>
        <v>186.75</v>
      </c>
      <c r="D45" s="24">
        <v>44</v>
      </c>
      <c r="E45" s="24">
        <f>IF(B45="Jan",1,0)</f>
        <v>0</v>
      </c>
      <c r="F45" s="24">
        <f>IF(B45="Feb",1,0)</f>
        <v>0</v>
      </c>
      <c r="G45" s="24">
        <f>IF(B45="Mar",1,0)</f>
        <v>0</v>
      </c>
      <c r="H45" s="24">
        <f>IF(B45="Apr",1,0)</f>
        <v>0</v>
      </c>
      <c r="I45" s="24">
        <f>IF(B45="may",1,0)</f>
        <v>0</v>
      </c>
      <c r="J45" s="24">
        <f>IF(B45="Jun",1,0)</f>
        <v>0</v>
      </c>
      <c r="K45" s="24">
        <f>IF(B45="Jul",1,0)</f>
        <v>0</v>
      </c>
      <c r="L45" s="24">
        <f>IF(B45="Aug",1,0)</f>
        <v>1</v>
      </c>
      <c r="M45" s="24">
        <f>IF(B45="Sep",1,0)</f>
        <v>0</v>
      </c>
      <c r="N45" s="24">
        <f>IF(B45="Oct",1,0)</f>
        <v>0</v>
      </c>
      <c r="O45" s="24">
        <f>IF(B45="Nov",1,0)</f>
        <v>0</v>
      </c>
      <c r="Y45" s="18"/>
      <c r="Z45" s="18"/>
      <c r="AA45" s="18"/>
      <c r="AB45" s="18"/>
      <c r="AC45" s="18"/>
      <c r="AD45" s="18"/>
      <c r="AE45" s="18"/>
      <c r="AF45" s="18"/>
      <c r="AG45" s="18"/>
      <c r="AH45" s="18"/>
    </row>
    <row r="46" spans="1:34" x14ac:dyDescent="0.2">
      <c r="A46" s="24"/>
      <c r="B46" s="24" t="s">
        <v>8</v>
      </c>
      <c r="C46" s="25">
        <f>$Z$17+($Z$18*D46)+($Z$19*E46)+($Z$20*F46)+($Z$21*G46)+($Z$22*H46)+($Z$23*I46)+($Z$24*J46)+($Z$25*K46)+($Z$26*L46)+($Z$27*M46)+($Z$28*N46)+($Z$29*O46)</f>
        <v>143.75000000000003</v>
      </c>
      <c r="D46" s="24">
        <v>45</v>
      </c>
      <c r="E46" s="24">
        <f>IF(B46="Jan",1,0)</f>
        <v>0</v>
      </c>
      <c r="F46" s="24">
        <f>IF(B46="Feb",1,0)</f>
        <v>0</v>
      </c>
      <c r="G46" s="24">
        <f>IF(B46="Mar",1,0)</f>
        <v>0</v>
      </c>
      <c r="H46" s="24">
        <f>IF(B46="Apr",1,0)</f>
        <v>0</v>
      </c>
      <c r="I46" s="24">
        <f>IF(B46="may",1,0)</f>
        <v>0</v>
      </c>
      <c r="J46" s="24">
        <f>IF(B46="Jun",1,0)</f>
        <v>0</v>
      </c>
      <c r="K46" s="24">
        <f>IF(B46="Jul",1,0)</f>
        <v>0</v>
      </c>
      <c r="L46" s="24">
        <f>IF(B46="Aug",1,0)</f>
        <v>0</v>
      </c>
      <c r="M46" s="24">
        <f>IF(B46="Sep",1,0)</f>
        <v>1</v>
      </c>
      <c r="N46" s="24">
        <f>IF(B46="Oct",1,0)</f>
        <v>0</v>
      </c>
      <c r="O46" s="24">
        <f>IF(B46="Nov",1,0)</f>
        <v>0</v>
      </c>
      <c r="Y46" s="18"/>
      <c r="Z46" s="18"/>
      <c r="AA46" s="18"/>
      <c r="AB46" s="18"/>
      <c r="AC46" s="18"/>
      <c r="AD46" s="18"/>
      <c r="AE46" s="18"/>
      <c r="AF46" s="18"/>
      <c r="AG46" s="18"/>
      <c r="AH46" s="18"/>
    </row>
    <row r="47" spans="1:34" x14ac:dyDescent="0.2">
      <c r="A47" s="24"/>
      <c r="B47" s="24" t="s">
        <v>9</v>
      </c>
      <c r="C47" s="25">
        <f>$Z$17+($Z$18*D47)+($Z$19*E47)+($Z$20*F47)+($Z$21*G47)+($Z$22*H47)+($Z$23*I47)+($Z$24*J47)+($Z$25*K47)+($Z$26*L47)+($Z$27*M47)+($Z$28*N47)+($Z$29*O47)</f>
        <v>160.41666666666663</v>
      </c>
      <c r="D47" s="24">
        <v>46</v>
      </c>
      <c r="E47" s="24">
        <f>IF(B47="Jan",1,0)</f>
        <v>0</v>
      </c>
      <c r="F47" s="24">
        <f>IF(B47="Feb",1,0)</f>
        <v>0</v>
      </c>
      <c r="G47" s="24">
        <f>IF(B47="Mar",1,0)</f>
        <v>0</v>
      </c>
      <c r="H47" s="24">
        <f>IF(B47="Apr",1,0)</f>
        <v>0</v>
      </c>
      <c r="I47" s="24">
        <f>IF(B47="may",1,0)</f>
        <v>0</v>
      </c>
      <c r="J47" s="24">
        <f>IF(B47="Jun",1,0)</f>
        <v>0</v>
      </c>
      <c r="K47" s="24">
        <f>IF(B47="Jul",1,0)</f>
        <v>0</v>
      </c>
      <c r="L47" s="24">
        <f>IF(B47="Aug",1,0)</f>
        <v>0</v>
      </c>
      <c r="M47" s="24">
        <f>IF(B47="Sep",1,0)</f>
        <v>0</v>
      </c>
      <c r="N47" s="24">
        <f>IF(B47="Oct",1,0)</f>
        <v>1</v>
      </c>
      <c r="O47" s="24">
        <f>IF(B47="Nov",1,0)</f>
        <v>0</v>
      </c>
      <c r="Y47" s="18"/>
      <c r="Z47" s="18"/>
      <c r="AA47" s="18"/>
      <c r="AB47" s="18"/>
      <c r="AC47" s="18"/>
      <c r="AD47" s="18"/>
      <c r="AE47" s="18"/>
      <c r="AF47" s="18"/>
      <c r="AG47" s="18"/>
      <c r="AH47" s="18"/>
    </row>
    <row r="48" spans="1:34" x14ac:dyDescent="0.2">
      <c r="A48" s="24"/>
      <c r="B48" s="24" t="s">
        <v>10</v>
      </c>
      <c r="C48" s="25">
        <f>$Z$17+($Z$18*D48)+($Z$19*E48)+($Z$20*F48)+($Z$21*G48)+($Z$22*H48)+($Z$23*I48)+($Z$24*J48)+($Z$25*K48)+($Z$26*L48)+($Z$27*M48)+($Z$28*N48)+($Z$29*O48)</f>
        <v>188.41666666666663</v>
      </c>
      <c r="D48" s="24">
        <v>47</v>
      </c>
      <c r="E48" s="24">
        <f>IF(B48="Jan",1,0)</f>
        <v>0</v>
      </c>
      <c r="F48" s="24">
        <f>IF(B48="Feb",1,0)</f>
        <v>0</v>
      </c>
      <c r="G48" s="24">
        <f>IF(B48="Mar",1,0)</f>
        <v>0</v>
      </c>
      <c r="H48" s="24">
        <f>IF(B48="Apr",1,0)</f>
        <v>0</v>
      </c>
      <c r="I48" s="24">
        <f>IF(B48="may",1,0)</f>
        <v>0</v>
      </c>
      <c r="J48" s="24">
        <f>IF(B48="Jun",1,0)</f>
        <v>0</v>
      </c>
      <c r="K48" s="24">
        <f>IF(B48="Jul",1,0)</f>
        <v>0</v>
      </c>
      <c r="L48" s="24">
        <f>IF(B48="Aug",1,0)</f>
        <v>0</v>
      </c>
      <c r="M48" s="24">
        <f>IF(B48="Sep",1,0)</f>
        <v>0</v>
      </c>
      <c r="N48" s="24">
        <f>IF(B48="Oct",1,0)</f>
        <v>0</v>
      </c>
      <c r="O48" s="24">
        <f>IF(B48="Nov",1,0)</f>
        <v>1</v>
      </c>
      <c r="Y48" s="18"/>
      <c r="Z48" s="18"/>
      <c r="AA48" s="18"/>
      <c r="AB48" s="18"/>
      <c r="AC48" s="18"/>
      <c r="AD48" s="18"/>
      <c r="AE48" s="18"/>
      <c r="AF48" s="18"/>
      <c r="AG48" s="18"/>
      <c r="AH48" s="18"/>
    </row>
    <row r="49" spans="1:34" x14ac:dyDescent="0.2">
      <c r="A49" s="24"/>
      <c r="B49" s="24" t="s">
        <v>11</v>
      </c>
      <c r="C49" s="25">
        <f>$Z$17+($Z$18*D49)+($Z$19*E49)+($Z$20*F49)+($Z$21*G49)+($Z$22*H49)+($Z$23*I49)+($Z$24*J49)+($Z$25*K49)+($Z$26*L49)+($Z$27*M49)+($Z$28*N49)+($Z$29*O49)</f>
        <v>248.08333333333334</v>
      </c>
      <c r="D49" s="24">
        <v>48</v>
      </c>
      <c r="E49" s="24">
        <f>IF(B49="Jan",1,0)</f>
        <v>0</v>
      </c>
      <c r="F49" s="24">
        <f>IF(B49="Feb",1,0)</f>
        <v>0</v>
      </c>
      <c r="G49" s="24">
        <f>IF(B49="Mar",1,0)</f>
        <v>0</v>
      </c>
      <c r="H49" s="24">
        <f>IF(B49="Apr",1,0)</f>
        <v>0</v>
      </c>
      <c r="I49" s="24">
        <f>IF(B49="may",1,0)</f>
        <v>0</v>
      </c>
      <c r="J49" s="24">
        <f>IF(B49="Jun",1,0)</f>
        <v>0</v>
      </c>
      <c r="K49" s="24">
        <f>IF(B49="Jul",1,0)</f>
        <v>0</v>
      </c>
      <c r="L49" s="24">
        <f>IF(B49="Aug",1,0)</f>
        <v>0</v>
      </c>
      <c r="M49" s="24">
        <f>IF(B49="Sep",1,0)</f>
        <v>0</v>
      </c>
      <c r="N49" s="24">
        <f>IF(B49="Oct",1,0)</f>
        <v>0</v>
      </c>
      <c r="O49" s="24">
        <f>IF(B49="Nov",1,0)</f>
        <v>0</v>
      </c>
      <c r="Y49" s="18"/>
      <c r="Z49" s="18"/>
      <c r="AA49" s="18"/>
      <c r="AB49" s="18"/>
      <c r="AC49" s="18"/>
      <c r="AD49" s="18"/>
      <c r="AE49" s="18"/>
      <c r="AF49" s="18"/>
      <c r="AG49" s="18"/>
      <c r="AH49" s="18"/>
    </row>
    <row r="50" spans="1:34" x14ac:dyDescent="0.2">
      <c r="Y50" s="18"/>
      <c r="Z50" s="18"/>
      <c r="AA50" s="18"/>
      <c r="AB50" s="18"/>
      <c r="AC50" s="18"/>
      <c r="AD50" s="18"/>
      <c r="AE50" s="18"/>
      <c r="AF50" s="18"/>
      <c r="AG50" s="18"/>
      <c r="AH50" s="18"/>
    </row>
    <row r="51" spans="1:34" x14ac:dyDescent="0.2">
      <c r="Y51" s="18"/>
      <c r="Z51" s="18"/>
      <c r="AA51" s="18"/>
      <c r="AB51" s="18"/>
      <c r="AC51" s="18"/>
      <c r="AD51" s="18"/>
      <c r="AE51" s="18"/>
      <c r="AF51" s="18"/>
      <c r="AG51" s="18"/>
      <c r="AH51" s="18"/>
    </row>
    <row r="52" spans="1:34" x14ac:dyDescent="0.2">
      <c r="Y52" s="18"/>
      <c r="Z52" s="18"/>
      <c r="AA52" s="18"/>
      <c r="AB52" s="18"/>
      <c r="AC52" s="18"/>
      <c r="AD52" s="18"/>
      <c r="AE52" s="18"/>
      <c r="AF52" s="18"/>
      <c r="AG52" s="18"/>
      <c r="AH52" s="18"/>
    </row>
    <row r="53" spans="1:34" x14ac:dyDescent="0.2">
      <c r="Y53" s="18"/>
      <c r="Z53" s="18"/>
      <c r="AA53" s="18"/>
      <c r="AB53" s="18"/>
      <c r="AC53" s="18"/>
      <c r="AD53" s="18"/>
      <c r="AE53" s="18"/>
      <c r="AF53" s="18"/>
      <c r="AG53" s="18"/>
      <c r="AH53" s="18"/>
    </row>
    <row r="54" spans="1:34" x14ac:dyDescent="0.2">
      <c r="Y54" s="18"/>
      <c r="Z54" s="18"/>
      <c r="AA54" s="18"/>
      <c r="AB54" s="18"/>
      <c r="AC54" s="18"/>
      <c r="AD54" s="18"/>
      <c r="AE54" s="18"/>
      <c r="AF54" s="18"/>
      <c r="AG54" s="18"/>
      <c r="AH54" s="18"/>
    </row>
    <row r="55" spans="1:34" x14ac:dyDescent="0.2">
      <c r="Y55" s="18"/>
      <c r="Z55" s="18"/>
      <c r="AA55" s="18"/>
      <c r="AB55" s="18"/>
      <c r="AC55" s="18"/>
      <c r="AD55" s="18"/>
      <c r="AE55" s="18"/>
      <c r="AF55" s="18"/>
      <c r="AG55" s="18"/>
      <c r="AH55" s="18"/>
    </row>
    <row r="56" spans="1:34" x14ac:dyDescent="0.2">
      <c r="Y56" s="18"/>
      <c r="Z56" s="18"/>
      <c r="AA56" s="18"/>
      <c r="AB56" s="18"/>
      <c r="AC56" s="18"/>
      <c r="AD56" s="18"/>
      <c r="AE56" s="18"/>
      <c r="AF56" s="18"/>
      <c r="AG56" s="18"/>
      <c r="AH56" s="18"/>
    </row>
    <row r="57" spans="1:34" x14ac:dyDescent="0.2">
      <c r="Y57" s="18"/>
      <c r="Z57" s="18"/>
      <c r="AA57" s="18"/>
      <c r="AB57" s="18"/>
      <c r="AC57" s="18"/>
      <c r="AD57" s="18"/>
      <c r="AE57" s="18"/>
      <c r="AF57" s="18"/>
      <c r="AG57" s="18"/>
      <c r="AH57" s="18"/>
    </row>
    <row r="58" spans="1:34" x14ac:dyDescent="0.2">
      <c r="Y58" s="18"/>
      <c r="Z58" s="18"/>
      <c r="AA58" s="18"/>
      <c r="AB58" s="18"/>
      <c r="AC58" s="18"/>
      <c r="AD58" s="18"/>
      <c r="AE58" s="18"/>
      <c r="AF58" s="18"/>
      <c r="AG58" s="18"/>
      <c r="AH58" s="18"/>
    </row>
    <row r="69" spans="45:47" x14ac:dyDescent="0.2">
      <c r="AS69" s="11"/>
      <c r="AT69" s="11"/>
      <c r="AU69" s="12"/>
    </row>
    <row r="70" spans="45:47" x14ac:dyDescent="0.2">
      <c r="AS70" s="11"/>
      <c r="AT70" s="11"/>
      <c r="AU70" s="12"/>
    </row>
    <row r="71" spans="45:47" x14ac:dyDescent="0.2">
      <c r="AS71" s="11"/>
      <c r="AT71" s="11"/>
      <c r="AU71" s="12"/>
    </row>
    <row r="72" spans="45:47" x14ac:dyDescent="0.2">
      <c r="AS72" s="11"/>
      <c r="AT72" s="11"/>
      <c r="AU72" s="12"/>
    </row>
    <row r="73" spans="45:47" ht="17" thickBot="1" x14ac:dyDescent="0.25">
      <c r="AS73" s="13"/>
      <c r="AT73" s="13"/>
      <c r="AU73" s="14"/>
    </row>
  </sheetData>
  <mergeCells count="1">
    <mergeCell ref="Y35:AH58"/>
  </mergeCell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vt:lpstr>
      <vt:lpstr>Time Series Analysis</vt:lpstr>
      <vt:lpstr>Model &amp; Details</vt:lpstr>
      <vt:lpstr>Jan comparison</vt:lpstr>
    </vt:vector>
  </TitlesOfParts>
  <Company> Rochester Institute of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A Williams</dc:creator>
  <cp:lastModifiedBy>Julian Lara</cp:lastModifiedBy>
  <dcterms:created xsi:type="dcterms:W3CDTF">2006-08-12T12:33:48Z</dcterms:created>
  <dcterms:modified xsi:type="dcterms:W3CDTF">2024-03-22T06:08:34Z</dcterms:modified>
</cp:coreProperties>
</file>